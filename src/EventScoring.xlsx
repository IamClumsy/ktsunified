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ck/Documents/ApexGirl/kts-unified/src/"/>
    </mc:Choice>
  </mc:AlternateContent>
  <xr:revisionPtr revIDLastSave="0" documentId="13_ncr:1_{9F003F3A-F339-C74D-B70C-C218BC3C9F1F}" xr6:coauthVersionLast="47" xr6:coauthVersionMax="47" xr10:uidLastSave="{00000000-0000-0000-0000-000000000000}"/>
  <bookViews>
    <workbookView xWindow="1540" yWindow="2860" windowWidth="3888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9" i="1" l="1"/>
  <c r="K78" i="1"/>
  <c r="K66" i="1"/>
  <c r="K51" i="1"/>
  <c r="K35" i="1"/>
  <c r="K20" i="1"/>
  <c r="K37" i="1"/>
  <c r="K22" i="1"/>
  <c r="K6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75" i="1"/>
  <c r="W74" i="1"/>
  <c r="W73" i="1"/>
  <c r="W72" i="1"/>
  <c r="W71" i="1"/>
  <c r="W70" i="1"/>
  <c r="W69" i="1"/>
  <c r="W68" i="1"/>
  <c r="W67" i="1"/>
  <c r="W66" i="1"/>
  <c r="W65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K90" i="1"/>
  <c r="E84" i="1"/>
  <c r="K89" i="1"/>
  <c r="E83" i="1"/>
  <c r="K88" i="1"/>
  <c r="E82" i="1"/>
  <c r="K87" i="1"/>
  <c r="E81" i="1"/>
  <c r="K86" i="1"/>
  <c r="E80" i="1"/>
  <c r="K85" i="1"/>
  <c r="E79" i="1"/>
  <c r="K84" i="1"/>
  <c r="E78" i="1"/>
  <c r="K83" i="1"/>
  <c r="E77" i="1"/>
  <c r="E76" i="1"/>
  <c r="K82" i="1"/>
  <c r="E75" i="1"/>
  <c r="K81" i="1"/>
  <c r="E74" i="1"/>
  <c r="K77" i="1"/>
  <c r="E72" i="1"/>
  <c r="K76" i="1"/>
  <c r="E71" i="1"/>
  <c r="K75" i="1"/>
  <c r="E70" i="1"/>
  <c r="K74" i="1"/>
  <c r="E69" i="1"/>
  <c r="K73" i="1"/>
  <c r="E68" i="1"/>
  <c r="K72" i="1"/>
  <c r="E67" i="1"/>
  <c r="K71" i="1"/>
  <c r="E66" i="1"/>
  <c r="K70" i="1"/>
  <c r="E65" i="1"/>
  <c r="K69" i="1"/>
  <c r="E64" i="1"/>
  <c r="Q63" i="1"/>
  <c r="K68" i="1"/>
  <c r="E63" i="1"/>
  <c r="Q62" i="1"/>
  <c r="E62" i="1"/>
  <c r="Q61" i="1"/>
  <c r="Q60" i="1"/>
  <c r="K65" i="1"/>
  <c r="E60" i="1"/>
  <c r="Q59" i="1"/>
  <c r="K64" i="1"/>
  <c r="E59" i="1"/>
  <c r="Q58" i="1"/>
  <c r="K63" i="1"/>
  <c r="E58" i="1"/>
  <c r="Q57" i="1"/>
  <c r="K62" i="1"/>
  <c r="E57" i="1"/>
  <c r="Q56" i="1"/>
  <c r="K61" i="1"/>
  <c r="E56" i="1"/>
  <c r="Q55" i="1"/>
  <c r="K60" i="1"/>
  <c r="E55" i="1"/>
  <c r="Q54" i="1"/>
  <c r="K59" i="1"/>
  <c r="E54" i="1"/>
  <c r="Q53" i="1"/>
  <c r="K58" i="1"/>
  <c r="E53" i="1"/>
  <c r="Q52" i="1"/>
  <c r="K57" i="1"/>
  <c r="E52" i="1"/>
  <c r="Q51" i="1"/>
  <c r="K56" i="1"/>
  <c r="E51" i="1"/>
  <c r="K55" i="1"/>
  <c r="E50" i="1"/>
  <c r="Q49" i="1"/>
  <c r="K54" i="1"/>
  <c r="E49" i="1"/>
  <c r="Q48" i="1"/>
  <c r="K53" i="1"/>
  <c r="E48" i="1"/>
  <c r="Q47" i="1"/>
  <c r="E47" i="1"/>
  <c r="Q46" i="1"/>
  <c r="Q45" i="1"/>
  <c r="K50" i="1"/>
  <c r="E45" i="1"/>
  <c r="Q44" i="1"/>
  <c r="K49" i="1"/>
  <c r="E44" i="1"/>
  <c r="Q43" i="1"/>
  <c r="K48" i="1"/>
  <c r="E43" i="1"/>
  <c r="Q42" i="1"/>
  <c r="K47" i="1"/>
  <c r="E42" i="1"/>
  <c r="Q41" i="1"/>
  <c r="K46" i="1"/>
  <c r="E41" i="1"/>
  <c r="Q40" i="1"/>
  <c r="K45" i="1"/>
  <c r="E40" i="1"/>
  <c r="Q39" i="1"/>
  <c r="K44" i="1"/>
  <c r="E39" i="1"/>
  <c r="Q38" i="1"/>
  <c r="K43" i="1"/>
  <c r="E38" i="1"/>
  <c r="Q37" i="1"/>
  <c r="K42" i="1"/>
  <c r="E37" i="1"/>
  <c r="Q36" i="1"/>
  <c r="K41" i="1"/>
  <c r="E36" i="1"/>
  <c r="Q35" i="1"/>
  <c r="K40" i="1"/>
  <c r="E35" i="1"/>
  <c r="Q34" i="1"/>
  <c r="K39" i="1"/>
  <c r="E34" i="1"/>
  <c r="Q33" i="1"/>
  <c r="K38" i="1"/>
  <c r="E33" i="1"/>
  <c r="Q32" i="1"/>
  <c r="Q31" i="1"/>
  <c r="K34" i="1"/>
  <c r="E31" i="1"/>
  <c r="Q30" i="1"/>
  <c r="K33" i="1"/>
  <c r="E30" i="1"/>
  <c r="Q29" i="1"/>
  <c r="K32" i="1"/>
  <c r="E29" i="1"/>
  <c r="Q28" i="1"/>
  <c r="K31" i="1"/>
  <c r="E28" i="1"/>
  <c r="K30" i="1"/>
  <c r="E27" i="1"/>
  <c r="Q26" i="1"/>
  <c r="K29" i="1"/>
  <c r="E26" i="1"/>
  <c r="Q25" i="1"/>
  <c r="K28" i="1"/>
  <c r="E25" i="1"/>
  <c r="Q24" i="1"/>
  <c r="K27" i="1"/>
  <c r="E24" i="1"/>
  <c r="Q23" i="1"/>
  <c r="K26" i="1"/>
  <c r="E23" i="1"/>
  <c r="Q22" i="1"/>
  <c r="K25" i="1"/>
  <c r="E22" i="1"/>
  <c r="Q21" i="1"/>
  <c r="K24" i="1"/>
  <c r="E21" i="1"/>
  <c r="Q20" i="1"/>
  <c r="K23" i="1"/>
  <c r="E20" i="1"/>
  <c r="Q19" i="1"/>
  <c r="Q18" i="1"/>
  <c r="K19" i="1"/>
  <c r="E18" i="1"/>
  <c r="Q17" i="1"/>
  <c r="K18" i="1"/>
  <c r="E17" i="1"/>
  <c r="Q16" i="1"/>
  <c r="K17" i="1"/>
  <c r="E16" i="1"/>
  <c r="Q15" i="1"/>
  <c r="K16" i="1"/>
  <c r="E15" i="1"/>
  <c r="Q14" i="1"/>
  <c r="K15" i="1"/>
  <c r="E14" i="1"/>
  <c r="Q13" i="1"/>
  <c r="K14" i="1"/>
  <c r="E13" i="1"/>
  <c r="Q12" i="1"/>
  <c r="K13" i="1"/>
  <c r="E12" i="1"/>
  <c r="Q11" i="1"/>
  <c r="K12" i="1"/>
  <c r="E11" i="1"/>
  <c r="Q10" i="1"/>
  <c r="K11" i="1"/>
  <c r="E10" i="1"/>
  <c r="Q9" i="1"/>
  <c r="K10" i="1"/>
  <c r="E9" i="1"/>
  <c r="Q8" i="1"/>
  <c r="K9" i="1"/>
  <c r="E8" i="1"/>
  <c r="Q7" i="1"/>
  <c r="K8" i="1"/>
  <c r="E7" i="1"/>
  <c r="Q6" i="1"/>
  <c r="K7" i="1"/>
  <c r="E6" i="1"/>
  <c r="K67" i="1" l="1"/>
  <c r="W64" i="1"/>
  <c r="W34" i="1"/>
  <c r="W76" i="1"/>
  <c r="W49" i="1"/>
  <c r="W20" i="1"/>
  <c r="K36" i="1"/>
  <c r="K52" i="1"/>
  <c r="Q64" i="1"/>
  <c r="Q50" i="1"/>
  <c r="Q27" i="1"/>
  <c r="K21" i="1"/>
  <c r="K80" i="1"/>
  <c r="K91" i="1"/>
  <c r="E85" i="1"/>
  <c r="E73" i="1"/>
  <c r="E61" i="1"/>
  <c r="E46" i="1"/>
  <c r="E32" i="1"/>
  <c r="E19" i="1"/>
  <c r="Q66" i="1" l="1"/>
  <c r="W78" i="1"/>
  <c r="K93" i="1"/>
  <c r="E87" i="1"/>
</calcChain>
</file>

<file path=xl/sharedStrings.xml><?xml version="1.0" encoding="utf-8"?>
<sst xmlns="http://schemas.openxmlformats.org/spreadsheetml/2006/main" count="345" uniqueCount="78">
  <si>
    <t>TOP CEO EVENT</t>
  </si>
  <si>
    <t>ULTIMATE CEO EVENT</t>
  </si>
  <si>
    <t>WARM UP EVENT</t>
  </si>
  <si>
    <t>Calculation points for events</t>
  </si>
  <si>
    <t>Task</t>
  </si>
  <si>
    <t>Points</t>
  </si>
  <si>
    <t>Used</t>
  </si>
  <si>
    <t>Score</t>
  </si>
  <si>
    <t>Vehicle</t>
  </si>
  <si>
    <t>Development</t>
  </si>
  <si>
    <t>Use Spark Plugs (Novice)</t>
  </si>
  <si>
    <t>Use Ignition Coil (Novice)</t>
  </si>
  <si>
    <t>Use Spark Plugs (Enhanced)</t>
  </si>
  <si>
    <t>Use Spark Plugs (Elite)</t>
  </si>
  <si>
    <t>Use Ignition Coil (Enhanced)</t>
  </si>
  <si>
    <t>Use Ignition Coil (Elite)</t>
  </si>
  <si>
    <t>Use Gold Bar</t>
  </si>
  <si>
    <t>Use Glass x1</t>
  </si>
  <si>
    <t>Record Single</t>
  </si>
  <si>
    <t>Use Basic Wood x1</t>
  </si>
  <si>
    <t>Use EXP Card x24</t>
  </si>
  <si>
    <t>Use High-Quality Wood x1</t>
  </si>
  <si>
    <t>Perform in Concert</t>
  </si>
  <si>
    <t>Use Premium Wood x1</t>
  </si>
  <si>
    <t>Perform in Stadium</t>
  </si>
  <si>
    <t>Use Basic Steel Ingots x1</t>
  </si>
  <si>
    <t>TOTAL</t>
  </si>
  <si>
    <t>Use High-Quality Steel Ingots x1</t>
  </si>
  <si>
    <t>Headquarters</t>
  </si>
  <si>
    <t>Use Premium Steel Ingots x1</t>
  </si>
  <si>
    <t>Earn 1 Gold Bar in the Hotel</t>
  </si>
  <si>
    <t>Innovation</t>
  </si>
  <si>
    <t>Use Collection Gems (Super Rare)</t>
  </si>
  <si>
    <t>Use Collection Gems (Legendary)</t>
  </si>
  <si>
    <t>Use Basic Sandstone</t>
  </si>
  <si>
    <t>Use High-Quality Sandstone</t>
  </si>
  <si>
    <t>Use Premium Sandstone</t>
  </si>
  <si>
    <t>Collectibles</t>
  </si>
  <si>
    <t>Use Basic Tile</t>
  </si>
  <si>
    <t>Use High-Quality Tile</t>
  </si>
  <si>
    <t>Use Premium Tile</t>
  </si>
  <si>
    <t>Use Construction Drones</t>
  </si>
  <si>
    <t>Use Villa Design Draft</t>
  </si>
  <si>
    <t>Use CEO's Coins (Basic)</t>
  </si>
  <si>
    <t>Use CEO's Coins (High-Quality)</t>
  </si>
  <si>
    <t>Use CEO's Coins (Premium)</t>
  </si>
  <si>
    <t>Use Villa Key Basic</t>
  </si>
  <si>
    <t>Use Villa Key High-Quality</t>
  </si>
  <si>
    <t>Use Villa Key Premium</t>
  </si>
  <si>
    <t>Total</t>
  </si>
  <si>
    <t>Villa</t>
  </si>
  <si>
    <t>Play Beauty Slot Machine</t>
  </si>
  <si>
    <t>Use CEO's Coins Basic</t>
  </si>
  <si>
    <t>Promotion</t>
  </si>
  <si>
    <t>Get Demo</t>
  </si>
  <si>
    <t>Use CEO's Coins High-Quality</t>
  </si>
  <si>
    <t>Interview Artist</t>
  </si>
  <si>
    <t>Use Asset Coin</t>
  </si>
  <si>
    <t>Use CEO's Coins Premium</t>
  </si>
  <si>
    <t>Use SR Promotion Cards</t>
  </si>
  <si>
    <t>Use SSR Promotion Cards</t>
  </si>
  <si>
    <t>Use SR Private Photos</t>
  </si>
  <si>
    <t>Use SSR Private Photos</t>
  </si>
  <si>
    <t>Artist</t>
  </si>
  <si>
    <t>Use Asset Coins</t>
  </si>
  <si>
    <t>APPROXIMATE TOTAL FOR ALL DAYS</t>
  </si>
  <si>
    <t>Use SR Private Photo</t>
  </si>
  <si>
    <t>Use SSR Private Photo</t>
  </si>
  <si>
    <t>Battle</t>
  </si>
  <si>
    <t>Acquire x1 Fans with single</t>
  </si>
  <si>
    <t>Defeat 1 enemy Fans</t>
  </si>
  <si>
    <t>Earn Gold Bar in the Hotel</t>
  </si>
  <si>
    <t>Use Blueprint point</t>
  </si>
  <si>
    <t>Upgrade Car Parts x1</t>
  </si>
  <si>
    <t>Promote Car x1</t>
  </si>
  <si>
    <t>Ultimate Traveler</t>
  </si>
  <si>
    <t>Slot Machine x1</t>
  </si>
  <si>
    <t>Interview Artists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</si>
</sst>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charset val="204"/>
      <scheme val="minor"/>
    </font>
    <font>
      <b/>
      <sz val="10"/>
      <color rgb="FF000000"/>
      <name val="Aptos Narrow"/>
      <family val="2"/>
      <charset val="204"/>
      <scheme val="minor"/>
    </font>
    <font>
      <sz val="10"/>
      <color rgb="FF000000"/>
      <name val="Aptos Narrow"/>
      <family val="2"/>
      <charset val="204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u/>
      <sz val="11"/>
      <color rgb="FF0563C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8F0FE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textRotation="255"/>
    </xf>
    <xf numFmtId="0" fontId="3" fillId="0" borderId="0" xfId="0" applyFont="1"/>
    <xf numFmtId="3" fontId="4" fillId="0" borderId="0" xfId="0" applyNumberFormat="1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0" fillId="0" borderId="2" xfId="0" applyBorder="1"/>
    <xf numFmtId="0" fontId="4" fillId="0" borderId="2" xfId="0" applyFont="1" applyBorder="1" applyAlignment="1">
      <alignment vertical="center"/>
    </xf>
    <xf numFmtId="3" fontId="6" fillId="0" borderId="3" xfId="0" applyNumberFormat="1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textRotation="255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3" fontId="7" fillId="0" borderId="0" xfId="0" applyNumberFormat="1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2" fillId="2" borderId="0" xfId="0" applyFont="1" applyFill="1" applyAlignment="1">
      <alignment horizontal="center" vertical="center" textRotation="255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textRotation="255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0" xfId="0" applyFont="1" applyFill="1" applyAlignment="1">
      <alignment vertical="center" textRotation="255"/>
    </xf>
    <xf numFmtId="0" fontId="2" fillId="2" borderId="4" xfId="0" applyFont="1" applyFill="1" applyBorder="1" applyAlignment="1">
      <alignment horizontal="center" vertical="center" textRotation="255"/>
    </xf>
    <xf numFmtId="0" fontId="2" fillId="2" borderId="0" xfId="0" applyFont="1" applyFill="1" applyBorder="1" applyAlignment="1">
      <alignment horizontal="center" vertical="center" textRotation="255"/>
    </xf>
    <xf numFmtId="0" fontId="2" fillId="0" borderId="0" xfId="0" applyFont="1" applyFill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"/>
  <sheetViews>
    <sheetView tabSelected="1" topLeftCell="K1" zoomScale="150" zoomScaleNormal="150" workbookViewId="0">
      <selection activeCell="S5" sqref="S5"/>
    </sheetView>
  </sheetViews>
  <sheetFormatPr baseColWidth="10" defaultRowHeight="16" x14ac:dyDescent="0.2"/>
  <cols>
    <col min="1" max="1" width="7.83203125" customWidth="1"/>
    <col min="2" max="2" width="23.83203125" bestFit="1" customWidth="1"/>
    <col min="3" max="3" width="10.1640625" bestFit="1" customWidth="1"/>
    <col min="7" max="7" width="7.83203125" customWidth="1"/>
    <col min="8" max="8" width="23.83203125" bestFit="1" customWidth="1"/>
    <col min="9" max="9" width="10.1640625" bestFit="1" customWidth="1"/>
    <col min="10" max="10" width="7" bestFit="1" customWidth="1"/>
    <col min="13" max="13" width="7.83203125" customWidth="1"/>
    <col min="14" max="14" width="23.83203125" bestFit="1" customWidth="1"/>
    <col min="17" max="17" width="11.33203125" bestFit="1" customWidth="1"/>
    <col min="19" max="19" width="7.83203125" customWidth="1"/>
    <col min="20" max="20" width="23.83203125" bestFit="1" customWidth="1"/>
    <col min="23" max="23" width="11.33203125" bestFit="1" customWidth="1"/>
  </cols>
  <sheetData>
    <row r="1" spans="1:23" ht="24" customHeight="1" x14ac:dyDescent="0.2">
      <c r="A1" s="1"/>
      <c r="B1" s="29" t="s">
        <v>0</v>
      </c>
      <c r="C1" s="24"/>
      <c r="D1" s="24"/>
      <c r="E1" s="24"/>
      <c r="G1" s="29" t="s">
        <v>1</v>
      </c>
      <c r="H1" s="24"/>
      <c r="I1" s="24"/>
      <c r="J1" s="24"/>
      <c r="K1" s="24"/>
      <c r="M1" s="29" t="s">
        <v>2</v>
      </c>
      <c r="N1" s="24"/>
      <c r="O1" s="24"/>
      <c r="P1" s="24"/>
      <c r="Q1" s="24"/>
      <c r="S1" s="29" t="s">
        <v>75</v>
      </c>
      <c r="T1" s="24"/>
      <c r="U1" s="24"/>
      <c r="V1" s="24"/>
      <c r="W1" s="24"/>
    </row>
    <row r="2" spans="1:23" ht="6" customHeight="1" x14ac:dyDescent="0.2">
      <c r="B2" s="2"/>
      <c r="E2" s="4"/>
      <c r="F2" s="3"/>
      <c r="G2" s="2"/>
      <c r="J2" s="2"/>
      <c r="K2" s="5"/>
      <c r="L2" s="3"/>
      <c r="M2" s="2"/>
      <c r="P2" s="2"/>
      <c r="Q2" s="5"/>
      <c r="R2" s="3"/>
      <c r="S2" s="2"/>
      <c r="V2" s="2"/>
      <c r="W2" s="5"/>
    </row>
    <row r="3" spans="1:23" ht="16" customHeight="1" x14ac:dyDescent="0.2">
      <c r="A3" s="31" t="s">
        <v>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4" spans="1:23" ht="16" customHeight="1" x14ac:dyDescent="0.2">
      <c r="B4" s="30" t="s">
        <v>0</v>
      </c>
      <c r="C4" s="24"/>
      <c r="D4" s="24"/>
      <c r="E4" s="4"/>
      <c r="F4" s="3"/>
      <c r="G4" s="30" t="s">
        <v>1</v>
      </c>
      <c r="H4" s="30"/>
      <c r="I4" s="30"/>
      <c r="J4" s="30"/>
      <c r="K4" s="30"/>
      <c r="L4" s="3"/>
      <c r="M4" s="30" t="s">
        <v>2</v>
      </c>
      <c r="N4" s="30"/>
      <c r="O4" s="30"/>
      <c r="P4" s="30"/>
      <c r="Q4" s="30"/>
      <c r="R4" s="3"/>
      <c r="S4" s="30" t="s">
        <v>75</v>
      </c>
      <c r="T4" s="30"/>
      <c r="U4" s="30"/>
      <c r="V4" s="30"/>
      <c r="W4" s="30"/>
    </row>
    <row r="5" spans="1:23" ht="16" customHeight="1" x14ac:dyDescent="0.2">
      <c r="B5" s="1" t="s">
        <v>4</v>
      </c>
      <c r="C5" s="1" t="s">
        <v>5</v>
      </c>
      <c r="D5" s="6" t="s">
        <v>6</v>
      </c>
      <c r="E5" s="7" t="s">
        <v>7</v>
      </c>
      <c r="F5" s="6"/>
      <c r="G5" s="2"/>
      <c r="H5" s="1" t="s">
        <v>4</v>
      </c>
      <c r="I5" s="1" t="s">
        <v>5</v>
      </c>
      <c r="J5" s="6" t="s">
        <v>6</v>
      </c>
      <c r="K5" s="7" t="s">
        <v>7</v>
      </c>
      <c r="L5" s="6"/>
      <c r="N5" s="1" t="s">
        <v>4</v>
      </c>
      <c r="O5" s="1" t="s">
        <v>5</v>
      </c>
      <c r="P5" s="6" t="s">
        <v>6</v>
      </c>
      <c r="Q5" s="7" t="s">
        <v>7</v>
      </c>
      <c r="R5" s="6"/>
      <c r="T5" s="1" t="s">
        <v>4</v>
      </c>
      <c r="U5" s="1" t="s">
        <v>5</v>
      </c>
      <c r="V5" s="6" t="s">
        <v>6</v>
      </c>
      <c r="W5" s="7" t="s">
        <v>7</v>
      </c>
    </row>
    <row r="6" spans="1:23" ht="16" customHeight="1" x14ac:dyDescent="0.2">
      <c r="A6" s="26" t="s">
        <v>8</v>
      </c>
      <c r="B6" s="9" t="s">
        <v>73</v>
      </c>
      <c r="C6" s="10">
        <v>500</v>
      </c>
      <c r="D6" s="10">
        <v>0</v>
      </c>
      <c r="E6" s="11">
        <f t="shared" ref="E6:E15" si="0">D6*C6</f>
        <v>0</v>
      </c>
      <c r="F6" s="10"/>
      <c r="G6" s="26" t="s">
        <v>8</v>
      </c>
      <c r="H6" s="9" t="s">
        <v>76</v>
      </c>
      <c r="I6" s="10">
        <v>37500</v>
      </c>
      <c r="J6" s="10">
        <v>0</v>
      </c>
      <c r="K6" s="11">
        <f t="shared" ref="K6" si="1">J6*I6</f>
        <v>0</v>
      </c>
      <c r="L6" s="10"/>
      <c r="M6" s="26" t="s">
        <v>9</v>
      </c>
      <c r="N6" s="9" t="s">
        <v>73</v>
      </c>
      <c r="O6" s="10">
        <v>500</v>
      </c>
      <c r="P6" s="10">
        <v>0</v>
      </c>
      <c r="Q6" s="11">
        <f t="shared" ref="Q6:Q22" si="2">P6*O6</f>
        <v>0</v>
      </c>
      <c r="R6" s="10"/>
      <c r="S6" s="26" t="s">
        <v>8</v>
      </c>
      <c r="T6" s="9" t="s">
        <v>73</v>
      </c>
      <c r="U6" s="10">
        <v>500</v>
      </c>
      <c r="V6" s="10">
        <v>0</v>
      </c>
      <c r="W6" s="11">
        <f t="shared" ref="W6:W15" si="3">V6*U6</f>
        <v>0</v>
      </c>
    </row>
    <row r="7" spans="1:23" ht="16" customHeight="1" x14ac:dyDescent="0.2">
      <c r="A7" s="24"/>
      <c r="B7" s="9" t="s">
        <v>74</v>
      </c>
      <c r="C7" s="10">
        <v>2500</v>
      </c>
      <c r="D7" s="10">
        <v>0</v>
      </c>
      <c r="E7" s="11">
        <f t="shared" si="0"/>
        <v>0</v>
      </c>
      <c r="F7" s="10"/>
      <c r="G7" s="26"/>
      <c r="H7" s="9" t="s">
        <v>73</v>
      </c>
      <c r="I7" s="10">
        <v>500</v>
      </c>
      <c r="J7" s="10">
        <v>0</v>
      </c>
      <c r="K7" s="11">
        <f t="shared" ref="K7:K16" si="4">J7*I7</f>
        <v>0</v>
      </c>
      <c r="L7" s="10"/>
      <c r="M7" s="24"/>
      <c r="N7" s="9" t="s">
        <v>74</v>
      </c>
      <c r="O7" s="10">
        <v>2500</v>
      </c>
      <c r="P7" s="10">
        <v>0</v>
      </c>
      <c r="Q7" s="11">
        <f t="shared" si="2"/>
        <v>0</v>
      </c>
      <c r="R7" s="10"/>
      <c r="S7" s="26"/>
      <c r="T7" s="9" t="s">
        <v>74</v>
      </c>
      <c r="U7" s="10">
        <v>2500</v>
      </c>
      <c r="V7" s="10">
        <v>0</v>
      </c>
      <c r="W7" s="11">
        <f t="shared" si="3"/>
        <v>0</v>
      </c>
    </row>
    <row r="8" spans="1:23" x14ac:dyDescent="0.2">
      <c r="A8" s="24"/>
      <c r="B8" s="9" t="s">
        <v>10</v>
      </c>
      <c r="C8" s="10">
        <v>400</v>
      </c>
      <c r="D8" s="10">
        <v>0</v>
      </c>
      <c r="E8" s="11">
        <f t="shared" si="0"/>
        <v>0</v>
      </c>
      <c r="F8" s="10"/>
      <c r="G8" s="26"/>
      <c r="H8" s="9" t="s">
        <v>74</v>
      </c>
      <c r="I8" s="10">
        <v>2500</v>
      </c>
      <c r="J8" s="10">
        <v>0</v>
      </c>
      <c r="K8" s="11">
        <f t="shared" si="4"/>
        <v>0</v>
      </c>
      <c r="L8" s="10"/>
      <c r="M8" s="24"/>
      <c r="N8" s="9" t="s">
        <v>10</v>
      </c>
      <c r="O8" s="10">
        <v>400</v>
      </c>
      <c r="P8" s="10">
        <v>0</v>
      </c>
      <c r="Q8" s="11">
        <f t="shared" si="2"/>
        <v>0</v>
      </c>
      <c r="R8" s="10"/>
      <c r="S8" s="26"/>
      <c r="T8" s="9" t="s">
        <v>10</v>
      </c>
      <c r="U8" s="10">
        <v>400</v>
      </c>
      <c r="V8" s="10">
        <v>0</v>
      </c>
      <c r="W8" s="11">
        <f t="shared" si="3"/>
        <v>0</v>
      </c>
    </row>
    <row r="9" spans="1:23" x14ac:dyDescent="0.2">
      <c r="A9" s="24"/>
      <c r="B9" s="9" t="s">
        <v>12</v>
      </c>
      <c r="C9" s="10">
        <v>50000</v>
      </c>
      <c r="D9" s="10">
        <v>0</v>
      </c>
      <c r="E9" s="11">
        <f t="shared" si="0"/>
        <v>0</v>
      </c>
      <c r="F9" s="10"/>
      <c r="G9" s="26"/>
      <c r="H9" s="9" t="s">
        <v>10</v>
      </c>
      <c r="I9" s="10">
        <v>400</v>
      </c>
      <c r="J9" s="10">
        <v>0</v>
      </c>
      <c r="K9" s="11">
        <f t="shared" si="4"/>
        <v>0</v>
      </c>
      <c r="L9" s="10"/>
      <c r="M9" s="24"/>
      <c r="N9" s="9" t="s">
        <v>12</v>
      </c>
      <c r="O9" s="10">
        <v>50000</v>
      </c>
      <c r="P9" s="10">
        <v>0</v>
      </c>
      <c r="Q9" s="11">
        <f t="shared" si="2"/>
        <v>0</v>
      </c>
      <c r="R9" s="10"/>
      <c r="S9" s="26"/>
      <c r="T9" s="9" t="s">
        <v>12</v>
      </c>
      <c r="U9" s="10">
        <v>50000</v>
      </c>
      <c r="V9" s="10">
        <v>0</v>
      </c>
      <c r="W9" s="11">
        <f t="shared" si="3"/>
        <v>0</v>
      </c>
    </row>
    <row r="10" spans="1:23" x14ac:dyDescent="0.2">
      <c r="A10" s="24"/>
      <c r="B10" s="9" t="s">
        <v>13</v>
      </c>
      <c r="C10" s="10">
        <v>125000</v>
      </c>
      <c r="D10" s="10">
        <v>0</v>
      </c>
      <c r="E10" s="11">
        <f t="shared" si="0"/>
        <v>0</v>
      </c>
      <c r="F10" s="10"/>
      <c r="G10" s="26"/>
      <c r="H10" s="9" t="s">
        <v>12</v>
      </c>
      <c r="I10" s="10">
        <v>50000</v>
      </c>
      <c r="J10" s="10">
        <v>0</v>
      </c>
      <c r="K10" s="11">
        <f t="shared" si="4"/>
        <v>0</v>
      </c>
      <c r="L10" s="10"/>
      <c r="M10" s="24"/>
      <c r="N10" s="9" t="s">
        <v>13</v>
      </c>
      <c r="O10" s="10">
        <v>125000</v>
      </c>
      <c r="P10" s="10">
        <v>0</v>
      </c>
      <c r="Q10" s="11">
        <f t="shared" si="2"/>
        <v>0</v>
      </c>
      <c r="R10" s="10"/>
      <c r="S10" s="26"/>
      <c r="T10" s="9" t="s">
        <v>13</v>
      </c>
      <c r="U10" s="10">
        <v>6250000</v>
      </c>
      <c r="V10" s="10">
        <v>0</v>
      </c>
      <c r="W10" s="11">
        <f t="shared" si="3"/>
        <v>0</v>
      </c>
    </row>
    <row r="11" spans="1:23" x14ac:dyDescent="0.2">
      <c r="A11" s="24"/>
      <c r="B11" s="9" t="s">
        <v>11</v>
      </c>
      <c r="C11" s="10">
        <v>4000</v>
      </c>
      <c r="D11" s="10">
        <v>0</v>
      </c>
      <c r="E11" s="11">
        <f t="shared" si="0"/>
        <v>0</v>
      </c>
      <c r="F11" s="10"/>
      <c r="G11" s="26"/>
      <c r="H11" s="9" t="s">
        <v>13</v>
      </c>
      <c r="I11" s="10">
        <v>6250000</v>
      </c>
      <c r="J11" s="10">
        <v>0</v>
      </c>
      <c r="K11" s="11">
        <f t="shared" si="4"/>
        <v>0</v>
      </c>
      <c r="L11" s="10"/>
      <c r="M11" s="24"/>
      <c r="N11" s="9" t="s">
        <v>11</v>
      </c>
      <c r="O11" s="10">
        <v>4000</v>
      </c>
      <c r="P11" s="10">
        <v>0</v>
      </c>
      <c r="Q11" s="11">
        <f t="shared" si="2"/>
        <v>0</v>
      </c>
      <c r="R11" s="10"/>
      <c r="S11" s="26"/>
      <c r="T11" s="9" t="s">
        <v>11</v>
      </c>
      <c r="U11" s="10">
        <v>4000</v>
      </c>
      <c r="V11" s="10">
        <v>0</v>
      </c>
      <c r="W11" s="11">
        <f t="shared" si="3"/>
        <v>0</v>
      </c>
    </row>
    <row r="12" spans="1:23" x14ac:dyDescent="0.2">
      <c r="A12" s="24"/>
      <c r="B12" s="9" t="s">
        <v>14</v>
      </c>
      <c r="C12" s="10">
        <v>500000</v>
      </c>
      <c r="D12" s="10">
        <v>0</v>
      </c>
      <c r="E12" s="11">
        <f t="shared" si="0"/>
        <v>0</v>
      </c>
      <c r="F12" s="10"/>
      <c r="G12" s="26"/>
      <c r="H12" s="9" t="s">
        <v>11</v>
      </c>
      <c r="I12" s="10">
        <v>4000</v>
      </c>
      <c r="J12" s="10">
        <v>0</v>
      </c>
      <c r="K12" s="11">
        <f t="shared" si="4"/>
        <v>0</v>
      </c>
      <c r="L12" s="10"/>
      <c r="M12" s="24"/>
      <c r="N12" s="9" t="s">
        <v>14</v>
      </c>
      <c r="O12" s="10">
        <v>500000</v>
      </c>
      <c r="P12" s="10">
        <v>0</v>
      </c>
      <c r="Q12" s="11">
        <f t="shared" si="2"/>
        <v>0</v>
      </c>
      <c r="R12" s="10"/>
      <c r="S12" s="26"/>
      <c r="T12" s="9" t="s">
        <v>14</v>
      </c>
      <c r="U12" s="10">
        <v>500000</v>
      </c>
      <c r="V12" s="10">
        <v>0</v>
      </c>
      <c r="W12" s="11">
        <f t="shared" si="3"/>
        <v>0</v>
      </c>
    </row>
    <row r="13" spans="1:23" x14ac:dyDescent="0.2">
      <c r="A13" s="24"/>
      <c r="B13" s="9" t="s">
        <v>15</v>
      </c>
      <c r="C13" s="10">
        <v>62500000</v>
      </c>
      <c r="D13" s="10">
        <v>0</v>
      </c>
      <c r="E13" s="11">
        <f t="shared" si="0"/>
        <v>0</v>
      </c>
      <c r="F13" s="10"/>
      <c r="G13" s="26"/>
      <c r="H13" s="9" t="s">
        <v>14</v>
      </c>
      <c r="I13" s="10">
        <v>500000</v>
      </c>
      <c r="J13" s="10">
        <v>0</v>
      </c>
      <c r="K13" s="11">
        <f t="shared" si="4"/>
        <v>0</v>
      </c>
      <c r="L13" s="10"/>
      <c r="M13" s="24"/>
      <c r="N13" s="9" t="s">
        <v>15</v>
      </c>
      <c r="O13" s="10">
        <v>62500000</v>
      </c>
      <c r="P13" s="10">
        <v>0</v>
      </c>
      <c r="Q13" s="11">
        <f t="shared" si="2"/>
        <v>0</v>
      </c>
      <c r="R13" s="10"/>
      <c r="S13" s="26"/>
      <c r="T13" s="9" t="s">
        <v>15</v>
      </c>
      <c r="U13" s="10">
        <v>62500000</v>
      </c>
      <c r="V13" s="10">
        <v>0</v>
      </c>
      <c r="W13" s="11">
        <f t="shared" si="3"/>
        <v>0</v>
      </c>
    </row>
    <row r="14" spans="1:23" x14ac:dyDescent="0.2">
      <c r="A14" s="24"/>
      <c r="B14" s="9" t="s">
        <v>16</v>
      </c>
      <c r="C14" s="10">
        <v>1</v>
      </c>
      <c r="D14" s="10">
        <v>0</v>
      </c>
      <c r="E14" s="11">
        <f t="shared" si="0"/>
        <v>0</v>
      </c>
      <c r="F14" s="10"/>
      <c r="G14" s="26"/>
      <c r="H14" s="9" t="s">
        <v>15</v>
      </c>
      <c r="I14" s="10">
        <v>62500000</v>
      </c>
      <c r="J14" s="10">
        <v>0</v>
      </c>
      <c r="K14" s="11">
        <f t="shared" si="4"/>
        <v>0</v>
      </c>
      <c r="L14" s="10"/>
      <c r="M14" s="24"/>
      <c r="N14" s="9" t="s">
        <v>17</v>
      </c>
      <c r="O14" s="10">
        <v>500</v>
      </c>
      <c r="P14" s="10">
        <v>0</v>
      </c>
      <c r="Q14" s="11">
        <f t="shared" si="2"/>
        <v>0</v>
      </c>
      <c r="R14" s="10"/>
      <c r="S14" s="26"/>
      <c r="T14" s="9" t="s">
        <v>16</v>
      </c>
      <c r="U14" s="10">
        <v>1</v>
      </c>
      <c r="V14" s="10">
        <v>0</v>
      </c>
      <c r="W14" s="11">
        <f t="shared" si="3"/>
        <v>0</v>
      </c>
    </row>
    <row r="15" spans="1:23" x14ac:dyDescent="0.2">
      <c r="A15" s="24"/>
      <c r="B15" s="9" t="s">
        <v>18</v>
      </c>
      <c r="C15" s="10">
        <v>50000</v>
      </c>
      <c r="D15" s="10">
        <v>0</v>
      </c>
      <c r="E15" s="11">
        <f t="shared" si="0"/>
        <v>0</v>
      </c>
      <c r="F15" s="10"/>
      <c r="G15" s="26"/>
      <c r="H15" s="9" t="s">
        <v>16</v>
      </c>
      <c r="I15" s="10">
        <v>1</v>
      </c>
      <c r="J15" s="10">
        <v>0</v>
      </c>
      <c r="K15" s="11">
        <f t="shared" si="4"/>
        <v>0</v>
      </c>
      <c r="L15" s="10"/>
      <c r="M15" s="24"/>
      <c r="N15" s="9" t="s">
        <v>19</v>
      </c>
      <c r="O15" s="10">
        <v>400</v>
      </c>
      <c r="P15" s="10">
        <v>0</v>
      </c>
      <c r="Q15" s="11">
        <f t="shared" si="2"/>
        <v>0</v>
      </c>
      <c r="R15" s="10"/>
      <c r="S15" s="26"/>
      <c r="T15" s="9" t="s">
        <v>18</v>
      </c>
      <c r="U15" s="10">
        <v>50000</v>
      </c>
      <c r="V15" s="10">
        <v>0</v>
      </c>
      <c r="W15" s="11">
        <f t="shared" si="3"/>
        <v>0</v>
      </c>
    </row>
    <row r="16" spans="1:23" x14ac:dyDescent="0.2">
      <c r="A16" s="24"/>
      <c r="B16" s="9" t="s">
        <v>20</v>
      </c>
      <c r="C16" s="10">
        <v>1</v>
      </c>
      <c r="D16" s="10">
        <v>0</v>
      </c>
      <c r="E16" s="11">
        <f>(D16*C16)/24</f>
        <v>0</v>
      </c>
      <c r="F16" s="10"/>
      <c r="G16" s="26"/>
      <c r="H16" s="9" t="s">
        <v>18</v>
      </c>
      <c r="I16" s="10">
        <v>50000</v>
      </c>
      <c r="J16" s="10">
        <v>0</v>
      </c>
      <c r="K16" s="11">
        <f t="shared" si="4"/>
        <v>0</v>
      </c>
      <c r="L16" s="10"/>
      <c r="M16" s="24"/>
      <c r="N16" s="9" t="s">
        <v>21</v>
      </c>
      <c r="O16" s="10">
        <v>50000</v>
      </c>
      <c r="P16" s="10">
        <v>0</v>
      </c>
      <c r="Q16" s="11">
        <f t="shared" si="2"/>
        <v>0</v>
      </c>
      <c r="R16" s="10"/>
      <c r="S16" s="26"/>
      <c r="T16" s="9" t="s">
        <v>20</v>
      </c>
      <c r="U16" s="10">
        <v>1</v>
      </c>
      <c r="V16" s="10">
        <v>0</v>
      </c>
      <c r="W16" s="11">
        <f>(V16*U16)/24</f>
        <v>0</v>
      </c>
    </row>
    <row r="17" spans="1:23" ht="16" customHeight="1" x14ac:dyDescent="0.2">
      <c r="A17" s="24"/>
      <c r="B17" s="9" t="s">
        <v>22</v>
      </c>
      <c r="C17" s="10">
        <v>10000</v>
      </c>
      <c r="D17" s="10">
        <v>0</v>
      </c>
      <c r="E17" s="11">
        <f>D17*C17</f>
        <v>0</v>
      </c>
      <c r="F17" s="10"/>
      <c r="G17" s="26"/>
      <c r="H17" s="9" t="s">
        <v>20</v>
      </c>
      <c r="I17" s="10">
        <v>1</v>
      </c>
      <c r="J17" s="10">
        <v>0</v>
      </c>
      <c r="K17" s="11">
        <f>(J17*I17)/24</f>
        <v>0</v>
      </c>
      <c r="L17" s="10"/>
      <c r="M17" s="24"/>
      <c r="N17" s="9" t="s">
        <v>23</v>
      </c>
      <c r="O17" s="10">
        <v>6250000</v>
      </c>
      <c r="P17" s="10">
        <v>0</v>
      </c>
      <c r="Q17" s="11">
        <f t="shared" si="2"/>
        <v>0</v>
      </c>
      <c r="R17" s="10"/>
      <c r="S17" s="26"/>
      <c r="T17" s="9" t="s">
        <v>22</v>
      </c>
      <c r="U17" s="10">
        <v>10000</v>
      </c>
      <c r="V17" s="10">
        <v>0</v>
      </c>
      <c r="W17" s="11">
        <f>V17*U17</f>
        <v>0</v>
      </c>
    </row>
    <row r="18" spans="1:23" x14ac:dyDescent="0.2">
      <c r="A18" s="24"/>
      <c r="B18" s="9" t="s">
        <v>24</v>
      </c>
      <c r="C18" s="10">
        <v>40000</v>
      </c>
      <c r="D18" s="10">
        <v>0</v>
      </c>
      <c r="E18" s="11">
        <f>D18*C18</f>
        <v>0</v>
      </c>
      <c r="F18" s="10"/>
      <c r="G18" s="26"/>
      <c r="H18" s="9" t="s">
        <v>22</v>
      </c>
      <c r="I18" s="10">
        <v>10000</v>
      </c>
      <c r="J18" s="10">
        <v>0</v>
      </c>
      <c r="K18" s="11">
        <f>J18*I18</f>
        <v>0</v>
      </c>
      <c r="L18" s="10"/>
      <c r="M18" s="24"/>
      <c r="N18" s="9" t="s">
        <v>25</v>
      </c>
      <c r="O18" s="10">
        <v>4000</v>
      </c>
      <c r="P18" s="10">
        <v>0</v>
      </c>
      <c r="Q18" s="11">
        <f t="shared" si="2"/>
        <v>0</v>
      </c>
      <c r="R18" s="10"/>
      <c r="S18" s="26"/>
      <c r="T18" s="9" t="s">
        <v>24</v>
      </c>
      <c r="U18" s="10">
        <v>40000</v>
      </c>
      <c r="V18" s="10">
        <v>0</v>
      </c>
      <c r="W18" s="11">
        <f>V18*U18</f>
        <v>0</v>
      </c>
    </row>
    <row r="19" spans="1:23" ht="16" customHeight="1" x14ac:dyDescent="0.2">
      <c r="A19" s="12"/>
      <c r="B19" s="27" t="s">
        <v>26</v>
      </c>
      <c r="C19" s="25"/>
      <c r="D19" s="13"/>
      <c r="E19" s="14">
        <f>SUM(E6:E18)</f>
        <v>0</v>
      </c>
      <c r="F19" s="15"/>
      <c r="G19" s="26"/>
      <c r="H19" s="9" t="s">
        <v>24</v>
      </c>
      <c r="I19" s="10">
        <v>40000</v>
      </c>
      <c r="J19" s="10">
        <v>0</v>
      </c>
      <c r="K19" s="11">
        <f>J19*I19</f>
        <v>0</v>
      </c>
      <c r="L19" s="15"/>
      <c r="M19" s="24"/>
      <c r="N19" s="9" t="s">
        <v>27</v>
      </c>
      <c r="O19" s="10">
        <v>500000</v>
      </c>
      <c r="P19" s="10">
        <v>0</v>
      </c>
      <c r="Q19" s="11">
        <f t="shared" si="2"/>
        <v>0</v>
      </c>
      <c r="R19" s="15"/>
      <c r="S19" s="26"/>
      <c r="T19" s="9" t="s">
        <v>30</v>
      </c>
      <c r="U19" s="10">
        <v>8</v>
      </c>
      <c r="V19" s="10">
        <v>0</v>
      </c>
      <c r="W19" s="11">
        <f>V19*U19</f>
        <v>0</v>
      </c>
    </row>
    <row r="20" spans="1:23" x14ac:dyDescent="0.2">
      <c r="A20" s="26" t="s">
        <v>28</v>
      </c>
      <c r="B20" s="9" t="s">
        <v>17</v>
      </c>
      <c r="C20" s="10">
        <v>500</v>
      </c>
      <c r="D20" s="10">
        <v>0</v>
      </c>
      <c r="E20" s="16">
        <f t="shared" ref="E20:E28" si="5">D20*C20</f>
        <v>0</v>
      </c>
      <c r="F20" s="5"/>
      <c r="G20" s="26"/>
      <c r="H20" s="9" t="s">
        <v>30</v>
      </c>
      <c r="I20" s="10">
        <v>8</v>
      </c>
      <c r="J20" s="10">
        <v>0</v>
      </c>
      <c r="K20" s="11">
        <f>J20*I20</f>
        <v>0</v>
      </c>
      <c r="L20" s="5"/>
      <c r="M20" s="24"/>
      <c r="N20" s="9" t="s">
        <v>29</v>
      </c>
      <c r="O20" s="10">
        <v>62500000</v>
      </c>
      <c r="P20" s="10">
        <v>0</v>
      </c>
      <c r="Q20" s="11">
        <f t="shared" si="2"/>
        <v>0</v>
      </c>
      <c r="R20" s="5"/>
      <c r="S20" s="33"/>
      <c r="T20" s="27" t="s">
        <v>26</v>
      </c>
      <c r="U20" s="25"/>
      <c r="V20" s="13"/>
      <c r="W20" s="14">
        <f>SUM(W6:W19)</f>
        <v>0</v>
      </c>
    </row>
    <row r="21" spans="1:23" ht="16" customHeight="1" x14ac:dyDescent="0.2">
      <c r="A21" s="24"/>
      <c r="B21" s="9" t="s">
        <v>19</v>
      </c>
      <c r="C21" s="10">
        <v>1000</v>
      </c>
      <c r="D21" s="10">
        <v>0</v>
      </c>
      <c r="E21" s="16">
        <f t="shared" si="5"/>
        <v>0</v>
      </c>
      <c r="F21" s="5"/>
      <c r="H21" s="27" t="s">
        <v>26</v>
      </c>
      <c r="I21" s="25"/>
      <c r="J21" s="13"/>
      <c r="K21" s="14">
        <f>SUM(K7:K19)</f>
        <v>0</v>
      </c>
      <c r="L21" s="5"/>
      <c r="M21" s="24"/>
      <c r="N21" s="9" t="s">
        <v>16</v>
      </c>
      <c r="O21" s="10">
        <v>1</v>
      </c>
      <c r="P21" s="10">
        <v>0</v>
      </c>
      <c r="Q21" s="11">
        <f t="shared" si="2"/>
        <v>0</v>
      </c>
      <c r="R21" s="5"/>
      <c r="S21" s="26" t="s">
        <v>28</v>
      </c>
      <c r="T21" s="9" t="s">
        <v>17</v>
      </c>
      <c r="U21" s="10">
        <v>500</v>
      </c>
      <c r="V21" s="10">
        <v>0</v>
      </c>
      <c r="W21" s="11">
        <f t="shared" ref="W21:W29" si="6">V21*U21</f>
        <v>0</v>
      </c>
    </row>
    <row r="22" spans="1:23" ht="16" customHeight="1" x14ac:dyDescent="0.2">
      <c r="A22" s="24"/>
      <c r="B22" s="9" t="s">
        <v>25</v>
      </c>
      <c r="C22" s="10">
        <v>10000</v>
      </c>
      <c r="D22" s="10">
        <v>0</v>
      </c>
      <c r="E22" s="16">
        <f t="shared" si="5"/>
        <v>0</v>
      </c>
      <c r="F22" s="5"/>
      <c r="G22" s="26" t="s">
        <v>28</v>
      </c>
      <c r="H22" s="9" t="s">
        <v>76</v>
      </c>
      <c r="I22" s="10">
        <v>37500</v>
      </c>
      <c r="J22" s="10">
        <v>0</v>
      </c>
      <c r="K22" s="11">
        <f t="shared" ref="K22" si="7">J22*I22</f>
        <v>0</v>
      </c>
      <c r="L22" s="5"/>
      <c r="M22" s="24"/>
      <c r="N22" s="9" t="s">
        <v>18</v>
      </c>
      <c r="O22" s="10">
        <v>50000</v>
      </c>
      <c r="P22" s="10">
        <v>0</v>
      </c>
      <c r="Q22" s="11">
        <f t="shared" si="2"/>
        <v>0</v>
      </c>
      <c r="R22" s="5"/>
      <c r="S22" s="26"/>
      <c r="T22" s="9" t="s">
        <v>19</v>
      </c>
      <c r="U22" s="10">
        <v>400</v>
      </c>
      <c r="V22" s="10">
        <v>0</v>
      </c>
      <c r="W22" s="11">
        <f t="shared" si="6"/>
        <v>0</v>
      </c>
    </row>
    <row r="23" spans="1:23" x14ac:dyDescent="0.2">
      <c r="A23" s="24"/>
      <c r="B23" s="9" t="s">
        <v>21</v>
      </c>
      <c r="C23" s="10">
        <v>125000</v>
      </c>
      <c r="D23" s="10">
        <v>0</v>
      </c>
      <c r="E23" s="16">
        <f t="shared" si="5"/>
        <v>0</v>
      </c>
      <c r="F23" s="5"/>
      <c r="G23" s="26"/>
      <c r="H23" s="9" t="s">
        <v>17</v>
      </c>
      <c r="I23" s="10">
        <v>500</v>
      </c>
      <c r="J23" s="10">
        <v>0</v>
      </c>
      <c r="K23" s="16">
        <f t="shared" ref="K23:K31" si="8">J23*I23</f>
        <v>0</v>
      </c>
      <c r="L23" s="5"/>
      <c r="M23" s="24"/>
      <c r="N23" s="9" t="s">
        <v>20</v>
      </c>
      <c r="O23" s="10">
        <v>1</v>
      </c>
      <c r="P23" s="10">
        <v>0</v>
      </c>
      <c r="Q23" s="11">
        <f>(P23*O23)/24</f>
        <v>0</v>
      </c>
      <c r="R23" s="5"/>
      <c r="S23" s="26"/>
      <c r="T23" s="9" t="s">
        <v>21</v>
      </c>
      <c r="U23" s="10">
        <v>50000</v>
      </c>
      <c r="V23" s="10">
        <v>0</v>
      </c>
      <c r="W23" s="11">
        <f t="shared" si="6"/>
        <v>0</v>
      </c>
    </row>
    <row r="24" spans="1:23" x14ac:dyDescent="0.2">
      <c r="A24" s="24"/>
      <c r="B24" s="9" t="s">
        <v>27</v>
      </c>
      <c r="C24" s="10">
        <v>1250000</v>
      </c>
      <c r="D24" s="10">
        <v>0</v>
      </c>
      <c r="E24" s="16">
        <f t="shared" si="5"/>
        <v>0</v>
      </c>
      <c r="F24" s="5"/>
      <c r="G24" s="26"/>
      <c r="H24" s="9" t="s">
        <v>19</v>
      </c>
      <c r="I24" s="10">
        <v>400</v>
      </c>
      <c r="J24" s="10">
        <v>0</v>
      </c>
      <c r="K24" s="16">
        <f t="shared" si="8"/>
        <v>0</v>
      </c>
      <c r="L24" s="5"/>
      <c r="M24" s="24"/>
      <c r="N24" s="9" t="s">
        <v>22</v>
      </c>
      <c r="O24" s="10">
        <v>10000</v>
      </c>
      <c r="P24" s="10">
        <v>0</v>
      </c>
      <c r="Q24" s="11">
        <f>P24*O24</f>
        <v>0</v>
      </c>
      <c r="R24" s="5"/>
      <c r="S24" s="26"/>
      <c r="T24" s="9" t="s">
        <v>23</v>
      </c>
      <c r="U24" s="10">
        <v>6250000</v>
      </c>
      <c r="V24" s="10">
        <v>0</v>
      </c>
      <c r="W24" s="11">
        <f t="shared" si="6"/>
        <v>0</v>
      </c>
    </row>
    <row r="25" spans="1:23" x14ac:dyDescent="0.2">
      <c r="A25" s="24"/>
      <c r="B25" s="9" t="s">
        <v>23</v>
      </c>
      <c r="C25" s="10">
        <v>15625000</v>
      </c>
      <c r="D25" s="10">
        <v>0</v>
      </c>
      <c r="E25" s="16">
        <f t="shared" si="5"/>
        <v>0</v>
      </c>
      <c r="F25" s="5"/>
      <c r="G25" s="26"/>
      <c r="H25" s="9" t="s">
        <v>25</v>
      </c>
      <c r="I25" s="10">
        <v>4000</v>
      </c>
      <c r="J25" s="10">
        <v>0</v>
      </c>
      <c r="K25" s="16">
        <f t="shared" si="8"/>
        <v>0</v>
      </c>
      <c r="L25" s="5"/>
      <c r="M25" s="24"/>
      <c r="N25" s="9" t="s">
        <v>24</v>
      </c>
      <c r="O25" s="10">
        <v>40000</v>
      </c>
      <c r="P25" s="10">
        <v>0</v>
      </c>
      <c r="Q25" s="11">
        <f>P25*O25</f>
        <v>0</v>
      </c>
      <c r="R25" s="5"/>
      <c r="S25" s="26"/>
      <c r="T25" s="9" t="s">
        <v>25</v>
      </c>
      <c r="U25" s="10">
        <v>4000</v>
      </c>
      <c r="V25" s="10">
        <v>0</v>
      </c>
      <c r="W25" s="11">
        <f t="shared" si="6"/>
        <v>0</v>
      </c>
    </row>
    <row r="26" spans="1:23" x14ac:dyDescent="0.2">
      <c r="A26" s="24"/>
      <c r="B26" s="9" t="s">
        <v>29</v>
      </c>
      <c r="C26" s="10">
        <v>156250000</v>
      </c>
      <c r="D26" s="10">
        <v>0</v>
      </c>
      <c r="E26" s="16">
        <f t="shared" si="5"/>
        <v>0</v>
      </c>
      <c r="F26" s="5"/>
      <c r="G26" s="26"/>
      <c r="H26" s="9" t="s">
        <v>21</v>
      </c>
      <c r="I26" s="10">
        <v>50000</v>
      </c>
      <c r="J26" s="10">
        <v>0</v>
      </c>
      <c r="K26" s="16">
        <f t="shared" si="8"/>
        <v>0</v>
      </c>
      <c r="L26" s="5"/>
      <c r="M26" s="24"/>
      <c r="N26" s="9" t="s">
        <v>30</v>
      </c>
      <c r="O26" s="10">
        <v>8</v>
      </c>
      <c r="P26" s="10">
        <v>0</v>
      </c>
      <c r="Q26" s="11">
        <f>P26*O26</f>
        <v>0</v>
      </c>
      <c r="R26" s="5"/>
      <c r="S26" s="26"/>
      <c r="T26" s="9" t="s">
        <v>27</v>
      </c>
      <c r="U26" s="10">
        <v>500000</v>
      </c>
      <c r="V26" s="10">
        <v>0</v>
      </c>
      <c r="W26" s="11">
        <f t="shared" si="6"/>
        <v>0</v>
      </c>
    </row>
    <row r="27" spans="1:23" x14ac:dyDescent="0.2">
      <c r="A27" s="24"/>
      <c r="B27" s="9" t="s">
        <v>16</v>
      </c>
      <c r="C27" s="10">
        <v>1</v>
      </c>
      <c r="D27" s="10">
        <v>0</v>
      </c>
      <c r="E27" s="16">
        <f t="shared" si="5"/>
        <v>0</v>
      </c>
      <c r="F27" s="5"/>
      <c r="G27" s="26"/>
      <c r="H27" s="9" t="s">
        <v>27</v>
      </c>
      <c r="I27" s="10">
        <v>500000</v>
      </c>
      <c r="J27" s="10">
        <v>0</v>
      </c>
      <c r="K27" s="16">
        <f t="shared" si="8"/>
        <v>0</v>
      </c>
      <c r="L27" s="5"/>
      <c r="N27" s="27" t="s">
        <v>26</v>
      </c>
      <c r="O27" s="25"/>
      <c r="P27" s="13"/>
      <c r="Q27" s="14">
        <f>SUM(Q6:Q26)</f>
        <v>0</v>
      </c>
      <c r="R27" s="5"/>
      <c r="S27" s="26"/>
      <c r="T27" s="9" t="s">
        <v>29</v>
      </c>
      <c r="U27" s="10">
        <v>62500000</v>
      </c>
      <c r="V27" s="10">
        <v>0</v>
      </c>
      <c r="W27" s="11">
        <f t="shared" si="6"/>
        <v>0</v>
      </c>
    </row>
    <row r="28" spans="1:23" x14ac:dyDescent="0.2">
      <c r="A28" s="24"/>
      <c r="B28" s="9" t="s">
        <v>18</v>
      </c>
      <c r="C28" s="10">
        <v>50000</v>
      </c>
      <c r="D28" s="10">
        <v>0</v>
      </c>
      <c r="E28" s="16">
        <f t="shared" si="5"/>
        <v>0</v>
      </c>
      <c r="F28" s="5"/>
      <c r="G28" s="26"/>
      <c r="H28" s="9" t="s">
        <v>23</v>
      </c>
      <c r="I28" s="10">
        <v>6250000</v>
      </c>
      <c r="J28" s="10">
        <v>0</v>
      </c>
      <c r="K28" s="16">
        <f t="shared" si="8"/>
        <v>0</v>
      </c>
      <c r="L28" s="5"/>
      <c r="M28" s="26" t="s">
        <v>31</v>
      </c>
      <c r="N28" s="9" t="s">
        <v>32</v>
      </c>
      <c r="O28" s="20">
        <v>500</v>
      </c>
      <c r="P28" s="10">
        <v>0</v>
      </c>
      <c r="Q28" s="16">
        <f t="shared" ref="Q28:Q45" si="9">O28*P28</f>
        <v>0</v>
      </c>
      <c r="R28" s="5"/>
      <c r="S28" s="26"/>
      <c r="T28" s="9" t="s">
        <v>16</v>
      </c>
      <c r="U28" s="10">
        <v>1</v>
      </c>
      <c r="V28" s="10">
        <v>0</v>
      </c>
      <c r="W28" s="11">
        <f t="shared" si="6"/>
        <v>0</v>
      </c>
    </row>
    <row r="29" spans="1:23" x14ac:dyDescent="0.2">
      <c r="A29" s="24"/>
      <c r="B29" s="9" t="s">
        <v>20</v>
      </c>
      <c r="C29" s="10">
        <v>1</v>
      </c>
      <c r="D29" s="10">
        <v>0</v>
      </c>
      <c r="E29" s="16">
        <f>D29*C29/24</f>
        <v>0</v>
      </c>
      <c r="F29" s="5"/>
      <c r="G29" s="26"/>
      <c r="H29" s="9" t="s">
        <v>29</v>
      </c>
      <c r="I29" s="10">
        <v>62500000</v>
      </c>
      <c r="J29" s="10">
        <v>0</v>
      </c>
      <c r="K29" s="16">
        <f t="shared" si="8"/>
        <v>0</v>
      </c>
      <c r="L29" s="5"/>
      <c r="M29" s="24"/>
      <c r="N29" s="9" t="s">
        <v>33</v>
      </c>
      <c r="O29" s="20">
        <v>1000</v>
      </c>
      <c r="P29" s="10">
        <v>0</v>
      </c>
      <c r="Q29" s="16">
        <f t="shared" si="9"/>
        <v>0</v>
      </c>
      <c r="R29" s="5"/>
      <c r="S29" s="26"/>
      <c r="T29" s="9" t="s">
        <v>18</v>
      </c>
      <c r="U29" s="10">
        <v>50000</v>
      </c>
      <c r="V29" s="10">
        <v>0</v>
      </c>
      <c r="W29" s="11">
        <f t="shared" si="6"/>
        <v>0</v>
      </c>
    </row>
    <row r="30" spans="1:23" ht="16" customHeight="1" x14ac:dyDescent="0.2">
      <c r="A30" s="24"/>
      <c r="B30" s="9" t="s">
        <v>22</v>
      </c>
      <c r="C30" s="10">
        <v>10000</v>
      </c>
      <c r="D30" s="10">
        <v>0</v>
      </c>
      <c r="E30" s="16">
        <f>D30*C30</f>
        <v>0</v>
      </c>
      <c r="F30" s="5"/>
      <c r="G30" s="26"/>
      <c r="H30" s="9" t="s">
        <v>16</v>
      </c>
      <c r="I30" s="10">
        <v>1</v>
      </c>
      <c r="J30" s="10">
        <v>0</v>
      </c>
      <c r="K30" s="16">
        <f t="shared" si="8"/>
        <v>0</v>
      </c>
      <c r="L30" s="5"/>
      <c r="M30" s="24"/>
      <c r="N30" s="9" t="s">
        <v>34</v>
      </c>
      <c r="O30" s="9">
        <v>1000</v>
      </c>
      <c r="P30" s="10">
        <v>0</v>
      </c>
      <c r="Q30" s="16">
        <f t="shared" si="9"/>
        <v>0</v>
      </c>
      <c r="R30" s="5"/>
      <c r="S30" s="26"/>
      <c r="T30" s="9" t="s">
        <v>20</v>
      </c>
      <c r="U30" s="10">
        <v>1</v>
      </c>
      <c r="V30" s="10">
        <v>0</v>
      </c>
      <c r="W30" s="11">
        <f>(V30*U30)/24</f>
        <v>0</v>
      </c>
    </row>
    <row r="31" spans="1:23" x14ac:dyDescent="0.2">
      <c r="A31" s="24"/>
      <c r="B31" s="9" t="s">
        <v>24</v>
      </c>
      <c r="C31" s="10">
        <v>40000</v>
      </c>
      <c r="D31" s="10">
        <v>0</v>
      </c>
      <c r="E31" s="16">
        <f>D31*C31</f>
        <v>0</v>
      </c>
      <c r="F31" s="5"/>
      <c r="G31" s="26"/>
      <c r="H31" s="9" t="s">
        <v>18</v>
      </c>
      <c r="I31" s="10">
        <v>50000</v>
      </c>
      <c r="J31" s="10">
        <v>0</v>
      </c>
      <c r="K31" s="16">
        <f t="shared" si="8"/>
        <v>0</v>
      </c>
      <c r="L31" s="5"/>
      <c r="M31" s="24"/>
      <c r="N31" s="9" t="s">
        <v>35</v>
      </c>
      <c r="O31" s="9">
        <v>125000</v>
      </c>
      <c r="P31" s="10">
        <v>0</v>
      </c>
      <c r="Q31" s="16">
        <f t="shared" si="9"/>
        <v>0</v>
      </c>
      <c r="R31" s="5"/>
      <c r="S31" s="26"/>
      <c r="T31" s="9" t="s">
        <v>22</v>
      </c>
      <c r="U31" s="10">
        <v>10000</v>
      </c>
      <c r="V31" s="10">
        <v>0</v>
      </c>
      <c r="W31" s="11">
        <f>V31*U31</f>
        <v>0</v>
      </c>
    </row>
    <row r="32" spans="1:23" ht="16" customHeight="1" x14ac:dyDescent="0.2">
      <c r="A32" s="17"/>
      <c r="B32" s="27" t="s">
        <v>26</v>
      </c>
      <c r="C32" s="25"/>
      <c r="D32" s="13"/>
      <c r="E32" s="18">
        <f>SUM(E20:E31)</f>
        <v>0</v>
      </c>
      <c r="F32" s="19"/>
      <c r="G32" s="26"/>
      <c r="H32" s="9" t="s">
        <v>20</v>
      </c>
      <c r="I32" s="10">
        <v>1</v>
      </c>
      <c r="J32" s="10">
        <v>0</v>
      </c>
      <c r="K32" s="16">
        <f>J32*I32/24</f>
        <v>0</v>
      </c>
      <c r="L32" s="19"/>
      <c r="M32" s="24"/>
      <c r="N32" s="9" t="s">
        <v>36</v>
      </c>
      <c r="O32" s="9">
        <v>15625000</v>
      </c>
      <c r="P32" s="10">
        <v>0</v>
      </c>
      <c r="Q32" s="16">
        <f t="shared" si="9"/>
        <v>0</v>
      </c>
      <c r="R32" s="19"/>
      <c r="S32" s="26"/>
      <c r="T32" s="9" t="s">
        <v>24</v>
      </c>
      <c r="U32" s="10">
        <v>40000</v>
      </c>
      <c r="V32" s="10">
        <v>0</v>
      </c>
      <c r="W32" s="11">
        <f>V32*U32</f>
        <v>0</v>
      </c>
    </row>
    <row r="33" spans="1:23" x14ac:dyDescent="0.2">
      <c r="A33" s="26" t="s">
        <v>37</v>
      </c>
      <c r="B33" s="9" t="s">
        <v>32</v>
      </c>
      <c r="C33" s="20">
        <v>500</v>
      </c>
      <c r="D33" s="10">
        <v>0</v>
      </c>
      <c r="E33" s="16">
        <f t="shared" ref="E33:E42" si="10">C33*D33</f>
        <v>0</v>
      </c>
      <c r="F33" s="5"/>
      <c r="G33" s="26"/>
      <c r="H33" s="9" t="s">
        <v>22</v>
      </c>
      <c r="I33" s="10">
        <v>10000</v>
      </c>
      <c r="J33" s="10">
        <v>0</v>
      </c>
      <c r="K33" s="16">
        <f>J33*I33</f>
        <v>0</v>
      </c>
      <c r="L33" s="5"/>
      <c r="M33" s="24"/>
      <c r="N33" s="9" t="s">
        <v>38</v>
      </c>
      <c r="O33" s="9">
        <v>10000</v>
      </c>
      <c r="P33" s="10">
        <v>0</v>
      </c>
      <c r="Q33" s="16">
        <f t="shared" si="9"/>
        <v>0</v>
      </c>
      <c r="R33" s="5"/>
      <c r="S33" s="26"/>
      <c r="T33" s="9" t="s">
        <v>30</v>
      </c>
      <c r="U33" s="10">
        <v>8</v>
      </c>
      <c r="V33" s="10">
        <v>0</v>
      </c>
      <c r="W33" s="11">
        <f>V33*U33</f>
        <v>0</v>
      </c>
    </row>
    <row r="34" spans="1:23" x14ac:dyDescent="0.2">
      <c r="A34" s="24"/>
      <c r="B34" s="9" t="s">
        <v>33</v>
      </c>
      <c r="C34" s="20">
        <v>1000</v>
      </c>
      <c r="D34" s="10">
        <v>0</v>
      </c>
      <c r="E34" s="16">
        <f t="shared" si="10"/>
        <v>0</v>
      </c>
      <c r="F34" s="5"/>
      <c r="G34" s="26"/>
      <c r="H34" s="9" t="s">
        <v>24</v>
      </c>
      <c r="I34" s="10">
        <v>40000</v>
      </c>
      <c r="J34" s="10">
        <v>0</v>
      </c>
      <c r="K34" s="16">
        <f>J34*I34</f>
        <v>0</v>
      </c>
      <c r="L34" s="5"/>
      <c r="M34" s="24"/>
      <c r="N34" s="9" t="s">
        <v>39</v>
      </c>
      <c r="O34" s="9">
        <v>1250000</v>
      </c>
      <c r="P34" s="10">
        <v>0</v>
      </c>
      <c r="Q34" s="16">
        <f t="shared" si="9"/>
        <v>0</v>
      </c>
      <c r="R34" s="5"/>
      <c r="S34" s="33"/>
      <c r="T34" s="27" t="s">
        <v>26</v>
      </c>
      <c r="U34" s="25"/>
      <c r="V34" s="13"/>
      <c r="W34" s="14">
        <f>SUM(W21:W33)</f>
        <v>0</v>
      </c>
    </row>
    <row r="35" spans="1:23" ht="16" customHeight="1" x14ac:dyDescent="0.2">
      <c r="A35" s="24"/>
      <c r="B35" s="9" t="s">
        <v>34</v>
      </c>
      <c r="C35" s="9">
        <v>2000</v>
      </c>
      <c r="D35" s="10">
        <v>0</v>
      </c>
      <c r="E35" s="16">
        <f t="shared" si="10"/>
        <v>0</v>
      </c>
      <c r="F35" s="5"/>
      <c r="G35" s="26"/>
      <c r="H35" s="9" t="s">
        <v>30</v>
      </c>
      <c r="I35" s="10">
        <v>8</v>
      </c>
      <c r="J35" s="10">
        <v>0</v>
      </c>
      <c r="K35" s="11">
        <f>J35*I35</f>
        <v>0</v>
      </c>
      <c r="L35" s="5"/>
      <c r="M35" s="24"/>
      <c r="N35" s="9" t="s">
        <v>40</v>
      </c>
      <c r="O35" s="9">
        <v>156250000</v>
      </c>
      <c r="P35" s="10">
        <v>0</v>
      </c>
      <c r="Q35" s="16">
        <f t="shared" si="9"/>
        <v>0</v>
      </c>
      <c r="R35" s="5"/>
      <c r="S35" s="26" t="s">
        <v>37</v>
      </c>
      <c r="T35" s="9" t="s">
        <v>32</v>
      </c>
      <c r="U35" s="20">
        <v>500</v>
      </c>
      <c r="V35" s="10">
        <v>0</v>
      </c>
      <c r="W35" s="16">
        <f t="shared" ref="W35:W44" si="11">U35*V35</f>
        <v>0</v>
      </c>
    </row>
    <row r="36" spans="1:23" ht="16" customHeight="1" x14ac:dyDescent="0.2">
      <c r="A36" s="24"/>
      <c r="B36" s="9" t="s">
        <v>38</v>
      </c>
      <c r="C36">
        <v>20000</v>
      </c>
      <c r="D36" s="10">
        <v>0</v>
      </c>
      <c r="E36" s="16">
        <f t="shared" si="10"/>
        <v>0</v>
      </c>
      <c r="F36" s="5"/>
      <c r="G36" s="36"/>
      <c r="H36" s="27" t="s">
        <v>26</v>
      </c>
      <c r="I36" s="25"/>
      <c r="J36" s="13"/>
      <c r="K36" s="18">
        <f>SUM(K23:K34)</f>
        <v>0</v>
      </c>
      <c r="L36" s="5"/>
      <c r="M36" s="24"/>
      <c r="N36" s="9" t="s">
        <v>41</v>
      </c>
      <c r="O36" s="9">
        <v>500</v>
      </c>
      <c r="P36" s="10">
        <v>0</v>
      </c>
      <c r="Q36" s="16">
        <f t="shared" si="9"/>
        <v>0</v>
      </c>
      <c r="R36" s="5"/>
      <c r="S36" s="26"/>
      <c r="T36" s="9" t="s">
        <v>33</v>
      </c>
      <c r="U36" s="20">
        <v>1000</v>
      </c>
      <c r="V36" s="10">
        <v>0</v>
      </c>
      <c r="W36" s="16">
        <f t="shared" si="11"/>
        <v>0</v>
      </c>
    </row>
    <row r="37" spans="1:23" x14ac:dyDescent="0.2">
      <c r="A37" s="24"/>
      <c r="B37" s="9" t="s">
        <v>35</v>
      </c>
      <c r="C37">
        <v>250000</v>
      </c>
      <c r="D37" s="10">
        <v>0</v>
      </c>
      <c r="E37" s="16">
        <f t="shared" si="10"/>
        <v>0</v>
      </c>
      <c r="F37" s="5"/>
      <c r="G37" s="8"/>
      <c r="H37" s="9" t="s">
        <v>76</v>
      </c>
      <c r="I37" s="10">
        <v>37500</v>
      </c>
      <c r="J37" s="10">
        <v>0</v>
      </c>
      <c r="K37" s="11">
        <f t="shared" ref="K37" si="12">J37*I37</f>
        <v>0</v>
      </c>
      <c r="L37" s="5"/>
      <c r="M37" s="24"/>
      <c r="N37" s="9" t="s">
        <v>42</v>
      </c>
      <c r="O37" s="9">
        <v>5000</v>
      </c>
      <c r="P37" s="10">
        <v>0</v>
      </c>
      <c r="Q37" s="16">
        <f t="shared" si="9"/>
        <v>0</v>
      </c>
      <c r="R37" s="5"/>
      <c r="S37" s="26"/>
      <c r="T37" s="9" t="s">
        <v>34</v>
      </c>
      <c r="U37" s="9">
        <v>400</v>
      </c>
      <c r="V37" s="10">
        <v>0</v>
      </c>
      <c r="W37" s="16">
        <f t="shared" si="11"/>
        <v>0</v>
      </c>
    </row>
    <row r="38" spans="1:23" x14ac:dyDescent="0.2">
      <c r="A38" s="24"/>
      <c r="B38" s="9" t="s">
        <v>39</v>
      </c>
      <c r="C38">
        <v>2500000</v>
      </c>
      <c r="D38" s="10">
        <v>0</v>
      </c>
      <c r="E38" s="16">
        <f t="shared" si="10"/>
        <v>0</v>
      </c>
      <c r="F38" s="5"/>
      <c r="G38" s="26" t="s">
        <v>37</v>
      </c>
      <c r="H38" s="9" t="s">
        <v>32</v>
      </c>
      <c r="I38" s="20">
        <v>500</v>
      </c>
      <c r="J38" s="10">
        <v>0</v>
      </c>
      <c r="K38" s="16">
        <f t="shared" ref="K38:K47" si="13">I38*J38</f>
        <v>0</v>
      </c>
      <c r="L38" s="5"/>
      <c r="M38" s="24"/>
      <c r="N38" s="9" t="s">
        <v>43</v>
      </c>
      <c r="O38" s="9">
        <v>1000</v>
      </c>
      <c r="P38" s="10">
        <v>0</v>
      </c>
      <c r="Q38" s="16">
        <f t="shared" si="9"/>
        <v>0</v>
      </c>
      <c r="R38" s="5"/>
      <c r="S38" s="26"/>
      <c r="T38" s="9" t="s">
        <v>35</v>
      </c>
      <c r="U38" s="9">
        <v>50000</v>
      </c>
      <c r="V38" s="10">
        <v>0</v>
      </c>
      <c r="W38" s="16">
        <f t="shared" si="11"/>
        <v>0</v>
      </c>
    </row>
    <row r="39" spans="1:23" x14ac:dyDescent="0.2">
      <c r="A39" s="24"/>
      <c r="B39" s="9" t="s">
        <v>36</v>
      </c>
      <c r="C39">
        <v>31250000</v>
      </c>
      <c r="D39" s="10">
        <v>0</v>
      </c>
      <c r="E39" s="16">
        <f t="shared" si="10"/>
        <v>0</v>
      </c>
      <c r="F39" s="5"/>
      <c r="G39" s="26"/>
      <c r="H39" s="9" t="s">
        <v>33</v>
      </c>
      <c r="I39" s="20">
        <v>1000</v>
      </c>
      <c r="J39" s="10">
        <v>0</v>
      </c>
      <c r="K39" s="16">
        <f t="shared" si="13"/>
        <v>0</v>
      </c>
      <c r="L39" s="5"/>
      <c r="M39" s="24"/>
      <c r="N39" s="9" t="s">
        <v>44</v>
      </c>
      <c r="O39" s="9">
        <v>125000</v>
      </c>
      <c r="P39" s="10">
        <v>0</v>
      </c>
      <c r="Q39" s="16">
        <f t="shared" si="9"/>
        <v>0</v>
      </c>
      <c r="R39" s="5"/>
      <c r="S39" s="26"/>
      <c r="T39" s="9" t="s">
        <v>36</v>
      </c>
      <c r="U39" s="9">
        <v>6250000</v>
      </c>
      <c r="V39" s="10">
        <v>0</v>
      </c>
      <c r="W39" s="16">
        <f t="shared" si="11"/>
        <v>0</v>
      </c>
    </row>
    <row r="40" spans="1:23" x14ac:dyDescent="0.2">
      <c r="A40" s="24"/>
      <c r="B40" s="9" t="s">
        <v>40</v>
      </c>
      <c r="C40">
        <v>312500000</v>
      </c>
      <c r="D40" s="10">
        <v>0</v>
      </c>
      <c r="E40" s="16">
        <f t="shared" si="10"/>
        <v>0</v>
      </c>
      <c r="F40" s="5"/>
      <c r="G40" s="26"/>
      <c r="H40" s="9" t="s">
        <v>34</v>
      </c>
      <c r="I40" s="9">
        <v>1000</v>
      </c>
      <c r="J40" s="10">
        <v>0</v>
      </c>
      <c r="K40" s="16">
        <f t="shared" si="13"/>
        <v>0</v>
      </c>
      <c r="L40" s="5"/>
      <c r="M40" s="24"/>
      <c r="N40" s="9" t="s">
        <v>45</v>
      </c>
      <c r="O40">
        <v>15625000</v>
      </c>
      <c r="P40" s="10">
        <v>0</v>
      </c>
      <c r="Q40" s="16">
        <f t="shared" si="9"/>
        <v>0</v>
      </c>
      <c r="R40" s="5"/>
      <c r="S40" s="26"/>
      <c r="T40" s="9" t="s">
        <v>38</v>
      </c>
      <c r="U40" s="9">
        <v>4000</v>
      </c>
      <c r="V40" s="10">
        <v>0</v>
      </c>
      <c r="W40" s="16">
        <f t="shared" si="11"/>
        <v>0</v>
      </c>
    </row>
    <row r="41" spans="1:23" x14ac:dyDescent="0.2">
      <c r="A41" s="24"/>
      <c r="B41" s="9" t="s">
        <v>16</v>
      </c>
      <c r="C41">
        <v>1</v>
      </c>
      <c r="D41" s="10">
        <v>0</v>
      </c>
      <c r="E41" s="16">
        <f t="shared" si="10"/>
        <v>0</v>
      </c>
      <c r="F41" s="5"/>
      <c r="G41" s="26"/>
      <c r="H41" s="9" t="s">
        <v>38</v>
      </c>
      <c r="I41">
        <v>10000</v>
      </c>
      <c r="J41" s="10">
        <v>0</v>
      </c>
      <c r="K41" s="16">
        <f t="shared" si="13"/>
        <v>0</v>
      </c>
      <c r="L41" s="5"/>
      <c r="M41" s="24"/>
      <c r="N41" s="9" t="s">
        <v>46</v>
      </c>
      <c r="O41">
        <v>10000</v>
      </c>
      <c r="P41" s="10">
        <v>0</v>
      </c>
      <c r="Q41" s="16">
        <f t="shared" si="9"/>
        <v>0</v>
      </c>
      <c r="R41" s="5"/>
      <c r="S41" s="26"/>
      <c r="T41" s="9" t="s">
        <v>39</v>
      </c>
      <c r="U41" s="9">
        <v>500000</v>
      </c>
      <c r="V41" s="10">
        <v>0</v>
      </c>
      <c r="W41" s="16">
        <f t="shared" si="11"/>
        <v>0</v>
      </c>
    </row>
    <row r="42" spans="1:23" x14ac:dyDescent="0.2">
      <c r="A42" s="24"/>
      <c r="B42" s="9" t="s">
        <v>18</v>
      </c>
      <c r="C42">
        <v>50000</v>
      </c>
      <c r="D42" s="10">
        <v>0</v>
      </c>
      <c r="E42" s="16">
        <f t="shared" si="10"/>
        <v>0</v>
      </c>
      <c r="F42" s="5"/>
      <c r="G42" s="26"/>
      <c r="H42" s="9" t="s">
        <v>35</v>
      </c>
      <c r="I42">
        <v>125000</v>
      </c>
      <c r="J42" s="10">
        <v>0</v>
      </c>
      <c r="K42" s="16">
        <f t="shared" si="13"/>
        <v>0</v>
      </c>
      <c r="L42" s="5"/>
      <c r="M42" s="24"/>
      <c r="N42" s="9" t="s">
        <v>47</v>
      </c>
      <c r="O42">
        <v>1250000</v>
      </c>
      <c r="P42" s="10">
        <v>0</v>
      </c>
      <c r="Q42" s="16">
        <f t="shared" si="9"/>
        <v>0</v>
      </c>
      <c r="R42" s="5"/>
      <c r="S42" s="26"/>
      <c r="T42" s="9" t="s">
        <v>40</v>
      </c>
      <c r="U42" s="9">
        <v>62500000</v>
      </c>
      <c r="V42" s="10">
        <v>0</v>
      </c>
      <c r="W42" s="16">
        <f t="shared" si="11"/>
        <v>0</v>
      </c>
    </row>
    <row r="43" spans="1:23" x14ac:dyDescent="0.2">
      <c r="A43" s="24"/>
      <c r="B43" s="9" t="s">
        <v>20</v>
      </c>
      <c r="C43">
        <v>1</v>
      </c>
      <c r="D43" s="10">
        <v>0</v>
      </c>
      <c r="E43" s="16">
        <f>(C43*D43)/24</f>
        <v>0</v>
      </c>
      <c r="F43" s="5"/>
      <c r="G43" s="26"/>
      <c r="H43" s="9" t="s">
        <v>39</v>
      </c>
      <c r="I43">
        <v>1250000</v>
      </c>
      <c r="J43" s="10">
        <v>0</v>
      </c>
      <c r="K43" s="16">
        <f t="shared" si="13"/>
        <v>0</v>
      </c>
      <c r="L43" s="5"/>
      <c r="M43" s="24"/>
      <c r="N43" s="9" t="s">
        <v>48</v>
      </c>
      <c r="O43">
        <v>156250000</v>
      </c>
      <c r="P43" s="10">
        <v>0</v>
      </c>
      <c r="Q43" s="16">
        <f t="shared" si="9"/>
        <v>0</v>
      </c>
      <c r="R43" s="5"/>
      <c r="S43" s="26"/>
      <c r="T43" s="9" t="s">
        <v>16</v>
      </c>
      <c r="U43">
        <v>1</v>
      </c>
      <c r="V43" s="10">
        <v>0</v>
      </c>
      <c r="W43" s="16">
        <f t="shared" si="11"/>
        <v>0</v>
      </c>
    </row>
    <row r="44" spans="1:23" ht="16" customHeight="1" x14ac:dyDescent="0.2">
      <c r="A44" s="24"/>
      <c r="B44" s="9" t="s">
        <v>22</v>
      </c>
      <c r="C44">
        <v>10000</v>
      </c>
      <c r="D44" s="10">
        <v>0</v>
      </c>
      <c r="E44" s="16">
        <f>C44*D44</f>
        <v>0</v>
      </c>
      <c r="F44" s="5"/>
      <c r="G44" s="26"/>
      <c r="H44" s="9" t="s">
        <v>36</v>
      </c>
      <c r="I44">
        <v>15625000</v>
      </c>
      <c r="J44" s="10">
        <v>0</v>
      </c>
      <c r="K44" s="16">
        <f t="shared" si="13"/>
        <v>0</v>
      </c>
      <c r="L44" s="5"/>
      <c r="M44" s="24"/>
      <c r="N44" s="9" t="s">
        <v>16</v>
      </c>
      <c r="O44">
        <v>1</v>
      </c>
      <c r="P44" s="10">
        <v>0</v>
      </c>
      <c r="Q44" s="16">
        <f t="shared" si="9"/>
        <v>0</v>
      </c>
      <c r="R44" s="5"/>
      <c r="S44" s="26"/>
      <c r="T44" s="9" t="s">
        <v>18</v>
      </c>
      <c r="U44">
        <v>50000</v>
      </c>
      <c r="V44" s="10">
        <v>0</v>
      </c>
      <c r="W44" s="16">
        <f t="shared" si="11"/>
        <v>0</v>
      </c>
    </row>
    <row r="45" spans="1:23" x14ac:dyDescent="0.2">
      <c r="A45" s="24"/>
      <c r="B45" s="9" t="s">
        <v>24</v>
      </c>
      <c r="C45">
        <v>40000</v>
      </c>
      <c r="D45" s="10">
        <v>0</v>
      </c>
      <c r="E45" s="16">
        <f>C45*D45</f>
        <v>0</v>
      </c>
      <c r="F45" s="5"/>
      <c r="G45" s="26"/>
      <c r="H45" s="9" t="s">
        <v>40</v>
      </c>
      <c r="I45">
        <v>156250000</v>
      </c>
      <c r="J45" s="10">
        <v>0</v>
      </c>
      <c r="K45" s="16">
        <f t="shared" si="13"/>
        <v>0</v>
      </c>
      <c r="L45" s="5"/>
      <c r="M45" s="24"/>
      <c r="N45" s="9" t="s">
        <v>18</v>
      </c>
      <c r="O45">
        <v>50000</v>
      </c>
      <c r="P45" s="10">
        <v>0</v>
      </c>
      <c r="Q45" s="16">
        <f t="shared" si="9"/>
        <v>0</v>
      </c>
      <c r="R45" s="5"/>
      <c r="S45" s="26"/>
      <c r="T45" s="9" t="s">
        <v>20</v>
      </c>
      <c r="U45">
        <v>1</v>
      </c>
      <c r="V45" s="10">
        <v>0</v>
      </c>
      <c r="W45" s="16">
        <f>(U45*V45)/24</f>
        <v>0</v>
      </c>
    </row>
    <row r="46" spans="1:23" ht="16" customHeight="1" x14ac:dyDescent="0.2">
      <c r="A46" s="13"/>
      <c r="B46" s="27" t="s">
        <v>49</v>
      </c>
      <c r="C46" s="25"/>
      <c r="D46" s="13"/>
      <c r="E46" s="18">
        <f>SUM(E33:E45)</f>
        <v>0</v>
      </c>
      <c r="F46" s="19"/>
      <c r="G46" s="26"/>
      <c r="H46" s="9" t="s">
        <v>16</v>
      </c>
      <c r="I46">
        <v>1</v>
      </c>
      <c r="J46" s="10">
        <v>0</v>
      </c>
      <c r="K46" s="16">
        <f t="shared" si="13"/>
        <v>0</v>
      </c>
      <c r="L46" s="19"/>
      <c r="M46" s="24"/>
      <c r="N46" s="9" t="s">
        <v>20</v>
      </c>
      <c r="O46">
        <v>1</v>
      </c>
      <c r="P46" s="10">
        <v>0</v>
      </c>
      <c r="Q46" s="16">
        <f>(O46*P46)/24</f>
        <v>0</v>
      </c>
      <c r="R46" s="19"/>
      <c r="S46" s="26"/>
      <c r="T46" s="9" t="s">
        <v>22</v>
      </c>
      <c r="U46">
        <v>10000</v>
      </c>
      <c r="V46" s="10">
        <v>0</v>
      </c>
      <c r="W46" s="16">
        <f>U46*V46</f>
        <v>0</v>
      </c>
    </row>
    <row r="47" spans="1:23" x14ac:dyDescent="0.2">
      <c r="A47" s="28" t="s">
        <v>50</v>
      </c>
      <c r="B47" s="9" t="s">
        <v>51</v>
      </c>
      <c r="C47">
        <v>37500</v>
      </c>
      <c r="D47" s="5">
        <v>0</v>
      </c>
      <c r="E47" s="16">
        <f t="shared" ref="E47:E57" si="14">D47*C47</f>
        <v>0</v>
      </c>
      <c r="F47" s="5"/>
      <c r="G47" s="26"/>
      <c r="H47" s="9" t="s">
        <v>18</v>
      </c>
      <c r="I47">
        <v>50000</v>
      </c>
      <c r="J47" s="10">
        <v>0</v>
      </c>
      <c r="K47" s="16">
        <f t="shared" si="13"/>
        <v>0</v>
      </c>
      <c r="L47" s="5"/>
      <c r="M47" s="24"/>
      <c r="N47" s="9" t="s">
        <v>22</v>
      </c>
      <c r="O47">
        <v>10000</v>
      </c>
      <c r="P47" s="10">
        <v>0</v>
      </c>
      <c r="Q47" s="16">
        <f>O47*P47</f>
        <v>0</v>
      </c>
      <c r="R47" s="5"/>
      <c r="S47" s="26"/>
      <c r="T47" s="9" t="s">
        <v>24</v>
      </c>
      <c r="U47">
        <v>40000</v>
      </c>
      <c r="V47" s="10">
        <v>0</v>
      </c>
      <c r="W47" s="16">
        <f>U47*V47</f>
        <v>0</v>
      </c>
    </row>
    <row r="48" spans="1:23" x14ac:dyDescent="0.2">
      <c r="A48" s="24"/>
      <c r="B48" s="9" t="s">
        <v>41</v>
      </c>
      <c r="C48">
        <v>500</v>
      </c>
      <c r="D48" s="5">
        <v>0</v>
      </c>
      <c r="E48" s="16">
        <f t="shared" si="14"/>
        <v>0</v>
      </c>
      <c r="F48" s="5"/>
      <c r="G48" s="26"/>
      <c r="H48" s="9" t="s">
        <v>20</v>
      </c>
      <c r="I48">
        <v>1</v>
      </c>
      <c r="J48" s="10">
        <v>0</v>
      </c>
      <c r="K48" s="16">
        <f>(I48*J48)/24</f>
        <v>0</v>
      </c>
      <c r="L48" s="5"/>
      <c r="M48" s="24"/>
      <c r="N48" s="9" t="s">
        <v>24</v>
      </c>
      <c r="O48">
        <v>40000</v>
      </c>
      <c r="P48" s="10">
        <v>0</v>
      </c>
      <c r="Q48" s="16">
        <f>O48*P48</f>
        <v>0</v>
      </c>
      <c r="R48" s="5"/>
      <c r="S48" s="26"/>
      <c r="T48" s="9" t="s">
        <v>30</v>
      </c>
      <c r="U48">
        <v>8</v>
      </c>
      <c r="V48" s="10">
        <v>0</v>
      </c>
      <c r="W48" s="16">
        <f>U48*V48</f>
        <v>0</v>
      </c>
    </row>
    <row r="49" spans="1:23" x14ac:dyDescent="0.2">
      <c r="A49" s="24"/>
      <c r="B49" s="9" t="s">
        <v>42</v>
      </c>
      <c r="C49">
        <v>5000</v>
      </c>
      <c r="D49" s="5">
        <v>0</v>
      </c>
      <c r="E49" s="16">
        <f t="shared" si="14"/>
        <v>0</v>
      </c>
      <c r="F49" s="5"/>
      <c r="G49" s="26"/>
      <c r="H49" s="9" t="s">
        <v>22</v>
      </c>
      <c r="I49">
        <v>10000</v>
      </c>
      <c r="J49" s="10">
        <v>0</v>
      </c>
      <c r="K49" s="16">
        <f>I49*J49</f>
        <v>0</v>
      </c>
      <c r="L49" s="5"/>
      <c r="M49" s="8"/>
      <c r="N49" s="9" t="s">
        <v>30</v>
      </c>
      <c r="O49">
        <v>8</v>
      </c>
      <c r="P49" s="10">
        <v>0</v>
      </c>
      <c r="Q49" s="16">
        <f>O49*P49</f>
        <v>0</v>
      </c>
      <c r="R49" s="5"/>
      <c r="S49" s="32"/>
      <c r="T49" s="27" t="s">
        <v>49</v>
      </c>
      <c r="U49" s="25"/>
      <c r="V49" s="13"/>
      <c r="W49" s="18">
        <f>SUM(W35:W48)</f>
        <v>0</v>
      </c>
    </row>
    <row r="50" spans="1:23" ht="16" customHeight="1" x14ac:dyDescent="0.2">
      <c r="A50" s="24"/>
      <c r="B50" s="9" t="s">
        <v>52</v>
      </c>
      <c r="C50">
        <v>2000</v>
      </c>
      <c r="D50" s="5">
        <v>0</v>
      </c>
      <c r="E50" s="16">
        <f t="shared" si="14"/>
        <v>0</v>
      </c>
      <c r="F50" s="5"/>
      <c r="G50" s="26"/>
      <c r="H50" s="9" t="s">
        <v>24</v>
      </c>
      <c r="I50">
        <v>40000</v>
      </c>
      <c r="J50" s="10">
        <v>0</v>
      </c>
      <c r="K50" s="16">
        <f>I50*J50</f>
        <v>0</v>
      </c>
      <c r="L50" s="5"/>
      <c r="N50" s="27" t="s">
        <v>49</v>
      </c>
      <c r="O50" s="25"/>
      <c r="P50" s="13"/>
      <c r="Q50" s="18">
        <f>SUM(Q28:Q49)</f>
        <v>0</v>
      </c>
      <c r="R50" s="5"/>
      <c r="S50" s="26" t="s">
        <v>50</v>
      </c>
      <c r="T50" s="9" t="s">
        <v>41</v>
      </c>
      <c r="U50" s="9">
        <v>500</v>
      </c>
      <c r="V50" s="10">
        <v>0</v>
      </c>
      <c r="W50" s="16">
        <f t="shared" ref="W50:W59" si="15">U50*V50</f>
        <v>0</v>
      </c>
    </row>
    <row r="51" spans="1:23" x14ac:dyDescent="0.2">
      <c r="A51" s="24"/>
      <c r="B51" s="9" t="s">
        <v>46</v>
      </c>
      <c r="C51">
        <v>20000</v>
      </c>
      <c r="D51" s="5">
        <v>0</v>
      </c>
      <c r="E51" s="16">
        <f t="shared" si="14"/>
        <v>0</v>
      </c>
      <c r="F51" s="5"/>
      <c r="G51" s="26"/>
      <c r="H51" s="9" t="s">
        <v>30</v>
      </c>
      <c r="I51" s="10">
        <v>8</v>
      </c>
      <c r="J51" s="10">
        <v>0</v>
      </c>
      <c r="K51" s="11">
        <f>J51*I51</f>
        <v>0</v>
      </c>
      <c r="L51" s="5"/>
      <c r="M51" s="26" t="s">
        <v>53</v>
      </c>
      <c r="N51" s="9" t="s">
        <v>54</v>
      </c>
      <c r="O51" s="20">
        <v>60000</v>
      </c>
      <c r="P51" s="10">
        <v>0</v>
      </c>
      <c r="Q51" s="16">
        <f t="shared" ref="Q51:Q59" si="16">O51*P51</f>
        <v>0</v>
      </c>
      <c r="R51" s="5"/>
      <c r="S51" s="26"/>
      <c r="T51" s="9" t="s">
        <v>42</v>
      </c>
      <c r="U51" s="9">
        <v>5000</v>
      </c>
      <c r="V51" s="10">
        <v>0</v>
      </c>
      <c r="W51" s="16">
        <f t="shared" si="15"/>
        <v>0</v>
      </c>
    </row>
    <row r="52" spans="1:23" x14ac:dyDescent="0.2">
      <c r="A52" s="24"/>
      <c r="B52" s="9" t="s">
        <v>55</v>
      </c>
      <c r="C52">
        <v>250000</v>
      </c>
      <c r="D52" s="5">
        <v>0</v>
      </c>
      <c r="E52" s="16">
        <f t="shared" si="14"/>
        <v>0</v>
      </c>
      <c r="F52" s="5"/>
      <c r="G52" s="13"/>
      <c r="H52" s="27" t="s">
        <v>49</v>
      </c>
      <c r="I52" s="25"/>
      <c r="J52" s="13"/>
      <c r="K52" s="18">
        <f>SUM(K38:K50)</f>
        <v>0</v>
      </c>
      <c r="L52" s="5"/>
      <c r="M52" s="24"/>
      <c r="N52" s="9" t="s">
        <v>56</v>
      </c>
      <c r="O52" s="20">
        <v>60000</v>
      </c>
      <c r="P52" s="10">
        <v>0</v>
      </c>
      <c r="Q52" s="16">
        <f t="shared" si="16"/>
        <v>0</v>
      </c>
      <c r="R52" s="5"/>
      <c r="S52" s="26"/>
      <c r="T52" s="9" t="s">
        <v>43</v>
      </c>
      <c r="U52" s="9">
        <v>1000</v>
      </c>
      <c r="V52" s="10">
        <v>0</v>
      </c>
      <c r="W52" s="16">
        <f t="shared" si="15"/>
        <v>0</v>
      </c>
    </row>
    <row r="53" spans="1:23" ht="16" customHeight="1" x14ac:dyDescent="0.2">
      <c r="A53" s="24"/>
      <c r="B53" s="9" t="s">
        <v>47</v>
      </c>
      <c r="C53">
        <v>2500000</v>
      </c>
      <c r="D53" s="5">
        <v>0</v>
      </c>
      <c r="E53" s="16">
        <f t="shared" si="14"/>
        <v>0</v>
      </c>
      <c r="F53" s="5"/>
      <c r="G53" s="34" t="s">
        <v>50</v>
      </c>
      <c r="H53" s="9" t="s">
        <v>41</v>
      </c>
      <c r="I53">
        <v>500</v>
      </c>
      <c r="J53" s="5">
        <v>0</v>
      </c>
      <c r="K53" s="16">
        <f t="shared" ref="K53:K62" si="17">J53*I53</f>
        <v>0</v>
      </c>
      <c r="L53" s="5"/>
      <c r="M53" s="24"/>
      <c r="N53" s="9" t="s">
        <v>57</v>
      </c>
      <c r="O53" s="9">
        <v>5</v>
      </c>
      <c r="P53" s="10">
        <v>0</v>
      </c>
      <c r="Q53" s="16">
        <f t="shared" si="16"/>
        <v>0</v>
      </c>
      <c r="R53" s="5"/>
      <c r="S53" s="26"/>
      <c r="T53" s="9" t="s">
        <v>44</v>
      </c>
      <c r="U53" s="9">
        <v>125000</v>
      </c>
      <c r="V53" s="10">
        <v>0</v>
      </c>
      <c r="W53" s="16">
        <f t="shared" si="15"/>
        <v>0</v>
      </c>
    </row>
    <row r="54" spans="1:23" x14ac:dyDescent="0.2">
      <c r="A54" s="24"/>
      <c r="B54" s="9" t="s">
        <v>58</v>
      </c>
      <c r="C54">
        <v>31250000</v>
      </c>
      <c r="D54" s="5">
        <v>0</v>
      </c>
      <c r="E54" s="16">
        <f t="shared" si="14"/>
        <v>0</v>
      </c>
      <c r="F54" s="5"/>
      <c r="G54" s="35"/>
      <c r="H54" s="9" t="s">
        <v>42</v>
      </c>
      <c r="I54">
        <v>5000</v>
      </c>
      <c r="J54" s="5">
        <v>0</v>
      </c>
      <c r="K54" s="16">
        <f t="shared" si="17"/>
        <v>0</v>
      </c>
      <c r="L54" s="5"/>
      <c r="M54" s="24"/>
      <c r="N54" s="9" t="s">
        <v>59</v>
      </c>
      <c r="O54" s="9">
        <v>1500</v>
      </c>
      <c r="P54" s="10">
        <v>0</v>
      </c>
      <c r="Q54" s="16">
        <f t="shared" si="16"/>
        <v>0</v>
      </c>
      <c r="R54" s="5"/>
      <c r="S54" s="26"/>
      <c r="T54" s="9" t="s">
        <v>45</v>
      </c>
      <c r="U54">
        <v>15625000</v>
      </c>
      <c r="V54" s="10">
        <v>0</v>
      </c>
      <c r="W54" s="16">
        <f t="shared" si="15"/>
        <v>0</v>
      </c>
    </row>
    <row r="55" spans="1:23" x14ac:dyDescent="0.2">
      <c r="A55" s="24"/>
      <c r="B55" s="9" t="s">
        <v>48</v>
      </c>
      <c r="C55">
        <v>312500000</v>
      </c>
      <c r="D55" s="5">
        <v>0</v>
      </c>
      <c r="E55" s="16">
        <f t="shared" si="14"/>
        <v>0</v>
      </c>
      <c r="F55" s="5"/>
      <c r="G55" s="35"/>
      <c r="H55" s="9" t="s">
        <v>52</v>
      </c>
      <c r="I55">
        <v>1000</v>
      </c>
      <c r="J55" s="5">
        <v>0</v>
      </c>
      <c r="K55" s="16">
        <f t="shared" si="17"/>
        <v>0</v>
      </c>
      <c r="L55" s="5"/>
      <c r="M55" s="24"/>
      <c r="N55" s="9" t="s">
        <v>60</v>
      </c>
      <c r="O55" s="9">
        <v>4000</v>
      </c>
      <c r="P55" s="10">
        <v>0</v>
      </c>
      <c r="Q55" s="16">
        <f t="shared" si="16"/>
        <v>0</v>
      </c>
      <c r="R55" s="5"/>
      <c r="S55" s="26"/>
      <c r="T55" s="9" t="s">
        <v>46</v>
      </c>
      <c r="U55">
        <v>10000</v>
      </c>
      <c r="V55" s="10">
        <v>0</v>
      </c>
      <c r="W55" s="16">
        <f t="shared" si="15"/>
        <v>0</v>
      </c>
    </row>
    <row r="56" spans="1:23" ht="16" customHeight="1" x14ac:dyDescent="0.2">
      <c r="A56" s="24"/>
      <c r="B56" s="9" t="s">
        <v>16</v>
      </c>
      <c r="C56">
        <v>1</v>
      </c>
      <c r="D56" s="5">
        <v>0</v>
      </c>
      <c r="E56" s="16">
        <f t="shared" si="14"/>
        <v>0</v>
      </c>
      <c r="F56" s="5"/>
      <c r="G56" s="35"/>
      <c r="H56" s="9" t="s">
        <v>46</v>
      </c>
      <c r="I56">
        <v>10000</v>
      </c>
      <c r="J56" s="5">
        <v>0</v>
      </c>
      <c r="K56" s="16">
        <f t="shared" si="17"/>
        <v>0</v>
      </c>
      <c r="L56" s="5"/>
      <c r="M56" s="24"/>
      <c r="N56" s="9" t="s">
        <v>61</v>
      </c>
      <c r="O56" s="9">
        <v>4000</v>
      </c>
      <c r="P56" s="10">
        <v>0</v>
      </c>
      <c r="Q56" s="16">
        <f t="shared" si="16"/>
        <v>0</v>
      </c>
      <c r="R56" s="5"/>
      <c r="S56" s="26"/>
      <c r="T56" s="9" t="s">
        <v>47</v>
      </c>
      <c r="U56">
        <v>1250000</v>
      </c>
      <c r="V56" s="10">
        <v>0</v>
      </c>
      <c r="W56" s="16">
        <f t="shared" si="15"/>
        <v>0</v>
      </c>
    </row>
    <row r="57" spans="1:23" x14ac:dyDescent="0.2">
      <c r="A57" s="24"/>
      <c r="B57" s="9" t="s">
        <v>18</v>
      </c>
      <c r="C57">
        <v>50000</v>
      </c>
      <c r="D57" s="5">
        <v>0</v>
      </c>
      <c r="E57" s="16">
        <f t="shared" si="14"/>
        <v>0</v>
      </c>
      <c r="F57" s="5"/>
      <c r="G57" s="35"/>
      <c r="H57" s="9" t="s">
        <v>55</v>
      </c>
      <c r="I57">
        <v>125000</v>
      </c>
      <c r="J57" s="5">
        <v>0</v>
      </c>
      <c r="K57" s="16">
        <f t="shared" si="17"/>
        <v>0</v>
      </c>
      <c r="L57" s="5"/>
      <c r="M57" s="24"/>
      <c r="N57" s="9" t="s">
        <v>62</v>
      </c>
      <c r="O57" s="9">
        <v>25000</v>
      </c>
      <c r="P57" s="10">
        <v>0</v>
      </c>
      <c r="Q57" s="16">
        <f t="shared" si="16"/>
        <v>0</v>
      </c>
      <c r="R57" s="5"/>
      <c r="S57" s="26"/>
      <c r="T57" s="9" t="s">
        <v>48</v>
      </c>
      <c r="U57">
        <v>156250000</v>
      </c>
      <c r="V57" s="10">
        <v>0</v>
      </c>
      <c r="W57" s="16">
        <f t="shared" si="15"/>
        <v>0</v>
      </c>
    </row>
    <row r="58" spans="1:23" x14ac:dyDescent="0.2">
      <c r="A58" s="24"/>
      <c r="B58" s="9" t="s">
        <v>20</v>
      </c>
      <c r="C58">
        <v>1</v>
      </c>
      <c r="D58" s="5">
        <v>0</v>
      </c>
      <c r="E58" s="16">
        <f>(D58*C58)/24</f>
        <v>0</v>
      </c>
      <c r="F58" s="5"/>
      <c r="G58" s="35"/>
      <c r="H58" s="9" t="s">
        <v>47</v>
      </c>
      <c r="I58">
        <v>1250000</v>
      </c>
      <c r="J58" s="5">
        <v>0</v>
      </c>
      <c r="K58" s="16">
        <f t="shared" si="17"/>
        <v>0</v>
      </c>
      <c r="L58" s="5"/>
      <c r="M58" s="24"/>
      <c r="N58" s="9" t="s">
        <v>16</v>
      </c>
      <c r="O58">
        <v>1</v>
      </c>
      <c r="P58" s="10">
        <v>0</v>
      </c>
      <c r="Q58" s="16">
        <f t="shared" si="16"/>
        <v>0</v>
      </c>
      <c r="R58" s="5"/>
      <c r="S58" s="26"/>
      <c r="T58" s="9" t="s">
        <v>16</v>
      </c>
      <c r="U58">
        <v>1</v>
      </c>
      <c r="V58" s="10">
        <v>0</v>
      </c>
      <c r="W58" s="16">
        <f t="shared" si="15"/>
        <v>0</v>
      </c>
    </row>
    <row r="59" spans="1:23" ht="16" customHeight="1" x14ac:dyDescent="0.2">
      <c r="A59" s="25"/>
      <c r="B59" s="9" t="s">
        <v>22</v>
      </c>
      <c r="C59">
        <v>10000</v>
      </c>
      <c r="D59" s="5">
        <v>0</v>
      </c>
      <c r="E59" s="16">
        <f>D59*C59</f>
        <v>0</v>
      </c>
      <c r="F59" s="5"/>
      <c r="G59" s="35"/>
      <c r="H59" s="9" t="s">
        <v>58</v>
      </c>
      <c r="I59">
        <v>15625000</v>
      </c>
      <c r="J59" s="5">
        <v>0</v>
      </c>
      <c r="K59" s="16">
        <f t="shared" si="17"/>
        <v>0</v>
      </c>
      <c r="L59" s="5"/>
      <c r="M59" s="24"/>
      <c r="N59" s="9" t="s">
        <v>18</v>
      </c>
      <c r="O59">
        <v>50000</v>
      </c>
      <c r="P59" s="10">
        <v>0</v>
      </c>
      <c r="Q59" s="16">
        <f t="shared" si="16"/>
        <v>0</v>
      </c>
      <c r="R59" s="5"/>
      <c r="S59" s="26"/>
      <c r="T59" s="9" t="s">
        <v>18</v>
      </c>
      <c r="U59">
        <v>50000</v>
      </c>
      <c r="V59" s="10">
        <v>0</v>
      </c>
      <c r="W59" s="16">
        <f t="shared" si="15"/>
        <v>0</v>
      </c>
    </row>
    <row r="60" spans="1:23" x14ac:dyDescent="0.2">
      <c r="A60" s="8"/>
      <c r="B60" s="9" t="s">
        <v>24</v>
      </c>
      <c r="C60">
        <v>40000</v>
      </c>
      <c r="D60" s="5">
        <v>0</v>
      </c>
      <c r="E60" s="16">
        <f>D60*C60</f>
        <v>0</v>
      </c>
      <c r="F60" s="5"/>
      <c r="G60" s="35"/>
      <c r="H60" s="9" t="s">
        <v>48</v>
      </c>
      <c r="I60">
        <v>156250000</v>
      </c>
      <c r="J60" s="5">
        <v>0</v>
      </c>
      <c r="K60" s="16">
        <f t="shared" si="17"/>
        <v>0</v>
      </c>
      <c r="L60" s="5"/>
      <c r="M60" s="24"/>
      <c r="N60" s="9" t="s">
        <v>20</v>
      </c>
      <c r="O60">
        <v>1</v>
      </c>
      <c r="P60" s="10">
        <v>0</v>
      </c>
      <c r="Q60" s="16">
        <f>(O60*P60)/24</f>
        <v>0</v>
      </c>
      <c r="R60" s="5"/>
      <c r="S60" s="26"/>
      <c r="T60" s="9" t="s">
        <v>20</v>
      </c>
      <c r="U60">
        <v>1</v>
      </c>
      <c r="V60" s="10">
        <v>0</v>
      </c>
      <c r="W60" s="16">
        <f>(U60*V60)/24</f>
        <v>0</v>
      </c>
    </row>
    <row r="61" spans="1:23" ht="16" customHeight="1" x14ac:dyDescent="0.2">
      <c r="A61" s="13"/>
      <c r="B61" s="27" t="s">
        <v>49</v>
      </c>
      <c r="C61" s="25"/>
      <c r="D61" s="13"/>
      <c r="E61" s="18">
        <f>SUM(E47:E60)</f>
        <v>0</v>
      </c>
      <c r="F61" s="19"/>
      <c r="G61" s="35"/>
      <c r="H61" s="9" t="s">
        <v>16</v>
      </c>
      <c r="I61">
        <v>1</v>
      </c>
      <c r="J61" s="5">
        <v>0</v>
      </c>
      <c r="K61" s="16">
        <f t="shared" si="17"/>
        <v>0</v>
      </c>
      <c r="L61" s="19"/>
      <c r="M61" s="24"/>
      <c r="N61" s="9" t="s">
        <v>22</v>
      </c>
      <c r="O61">
        <v>10000</v>
      </c>
      <c r="P61" s="10">
        <v>0</v>
      </c>
      <c r="Q61" s="16">
        <f>O61*P61</f>
        <v>0</v>
      </c>
      <c r="R61" s="19"/>
      <c r="S61" s="26"/>
      <c r="T61" s="9" t="s">
        <v>22</v>
      </c>
      <c r="U61">
        <v>10000</v>
      </c>
      <c r="V61" s="10">
        <v>0</v>
      </c>
      <c r="W61" s="16">
        <f>U61*V61</f>
        <v>0</v>
      </c>
    </row>
    <row r="62" spans="1:23" x14ac:dyDescent="0.2">
      <c r="A62" s="26" t="s">
        <v>63</v>
      </c>
      <c r="B62" s="9" t="s">
        <v>51</v>
      </c>
      <c r="C62">
        <v>37500</v>
      </c>
      <c r="D62" s="5">
        <v>0</v>
      </c>
      <c r="E62" s="16">
        <f t="shared" ref="E62:E69" si="18">D62*C62</f>
        <v>0</v>
      </c>
      <c r="F62" s="5"/>
      <c r="G62" s="35"/>
      <c r="H62" s="9" t="s">
        <v>18</v>
      </c>
      <c r="I62">
        <v>50000</v>
      </c>
      <c r="J62" s="5">
        <v>0</v>
      </c>
      <c r="K62" s="16">
        <f t="shared" si="17"/>
        <v>0</v>
      </c>
      <c r="L62" s="5"/>
      <c r="M62" s="24"/>
      <c r="N62" s="9" t="s">
        <v>24</v>
      </c>
      <c r="O62">
        <v>40000</v>
      </c>
      <c r="P62" s="10">
        <v>0</v>
      </c>
      <c r="Q62" s="16">
        <f>O62*P62</f>
        <v>0</v>
      </c>
      <c r="R62" s="5"/>
      <c r="S62" s="26"/>
      <c r="T62" s="9" t="s">
        <v>24</v>
      </c>
      <c r="U62">
        <v>40000</v>
      </c>
      <c r="V62" s="10">
        <v>0</v>
      </c>
      <c r="W62" s="16">
        <f>U62*V62</f>
        <v>0</v>
      </c>
    </row>
    <row r="63" spans="1:23" x14ac:dyDescent="0.2">
      <c r="A63" s="24"/>
      <c r="B63" s="9" t="s">
        <v>64</v>
      </c>
      <c r="C63">
        <v>5</v>
      </c>
      <c r="D63" s="5">
        <v>0</v>
      </c>
      <c r="E63" s="16">
        <f t="shared" si="18"/>
        <v>0</v>
      </c>
      <c r="F63" s="5"/>
      <c r="G63" s="35"/>
      <c r="H63" s="9" t="s">
        <v>20</v>
      </c>
      <c r="I63">
        <v>1</v>
      </c>
      <c r="J63" s="5">
        <v>0</v>
      </c>
      <c r="K63" s="16">
        <f>(J63*I63)/24</f>
        <v>0</v>
      </c>
      <c r="L63" s="5"/>
      <c r="M63" s="24"/>
      <c r="N63" s="9" t="s">
        <v>30</v>
      </c>
      <c r="O63">
        <v>8</v>
      </c>
      <c r="P63" s="10">
        <v>0</v>
      </c>
      <c r="Q63" s="16">
        <f>O63*P63</f>
        <v>0</v>
      </c>
      <c r="R63" s="5"/>
      <c r="S63" s="26"/>
      <c r="T63" s="9" t="s">
        <v>30</v>
      </c>
      <c r="U63">
        <v>8</v>
      </c>
      <c r="V63" s="10">
        <v>0</v>
      </c>
      <c r="W63" s="16">
        <f>U63*V63</f>
        <v>0</v>
      </c>
    </row>
    <row r="64" spans="1:23" x14ac:dyDescent="0.2">
      <c r="A64" s="24"/>
      <c r="B64" s="9" t="s">
        <v>59</v>
      </c>
      <c r="C64">
        <v>1500</v>
      </c>
      <c r="D64" s="5">
        <v>0</v>
      </c>
      <c r="E64" s="16">
        <f t="shared" si="18"/>
        <v>0</v>
      </c>
      <c r="F64" s="5"/>
      <c r="G64" s="35"/>
      <c r="H64" s="9" t="s">
        <v>22</v>
      </c>
      <c r="I64">
        <v>10000</v>
      </c>
      <c r="J64" s="5">
        <v>0</v>
      </c>
      <c r="K64" s="16">
        <f>J64*I64</f>
        <v>0</v>
      </c>
      <c r="L64" s="5"/>
      <c r="N64" s="27" t="s">
        <v>49</v>
      </c>
      <c r="O64" s="25"/>
      <c r="P64" s="5"/>
      <c r="Q64" s="21">
        <f>SUM(Q51:Q63)</f>
        <v>0</v>
      </c>
      <c r="R64" s="5"/>
      <c r="S64" s="32"/>
      <c r="T64" s="27" t="s">
        <v>49</v>
      </c>
      <c r="U64" s="25"/>
      <c r="V64" s="13"/>
      <c r="W64" s="18">
        <f>SUM(W50:W63)</f>
        <v>0</v>
      </c>
    </row>
    <row r="65" spans="1:23" x14ac:dyDescent="0.2">
      <c r="A65" s="24"/>
      <c r="B65" s="9" t="s">
        <v>60</v>
      </c>
      <c r="C65">
        <v>4000</v>
      </c>
      <c r="D65" s="5">
        <v>0</v>
      </c>
      <c r="E65" s="16">
        <f t="shared" si="18"/>
        <v>0</v>
      </c>
      <c r="F65" s="5"/>
      <c r="G65" s="35"/>
      <c r="H65" s="9" t="s">
        <v>24</v>
      </c>
      <c r="I65">
        <v>40000</v>
      </c>
      <c r="J65" s="5">
        <v>0</v>
      </c>
      <c r="K65" s="16">
        <f>J65*I65</f>
        <v>0</v>
      </c>
      <c r="L65" s="5"/>
      <c r="N65" s="23" t="s">
        <v>65</v>
      </c>
      <c r="O65" s="24"/>
      <c r="P65" s="24"/>
      <c r="Q65" s="16"/>
      <c r="R65" s="5"/>
      <c r="S65" s="26" t="s">
        <v>63</v>
      </c>
      <c r="T65" s="9" t="s">
        <v>57</v>
      </c>
      <c r="U65" s="9">
        <v>5</v>
      </c>
      <c r="V65" s="10">
        <v>0</v>
      </c>
      <c r="W65" s="16">
        <f t="shared" ref="W65:W71" si="19">U65*V65</f>
        <v>0</v>
      </c>
    </row>
    <row r="66" spans="1:23" x14ac:dyDescent="0.2">
      <c r="A66" s="24"/>
      <c r="B66" s="9" t="s">
        <v>66</v>
      </c>
      <c r="C66">
        <v>4000</v>
      </c>
      <c r="D66" s="5">
        <v>0</v>
      </c>
      <c r="E66" s="16">
        <f t="shared" si="18"/>
        <v>0</v>
      </c>
      <c r="F66" s="5"/>
      <c r="G66" s="35"/>
      <c r="H66" s="9" t="s">
        <v>30</v>
      </c>
      <c r="I66" s="10">
        <v>8</v>
      </c>
      <c r="J66" s="10">
        <v>0</v>
      </c>
      <c r="K66" s="11">
        <f>J66*I66</f>
        <v>0</v>
      </c>
      <c r="L66" s="5"/>
      <c r="N66" s="25"/>
      <c r="O66" s="25"/>
      <c r="P66" s="25"/>
      <c r="Q66" s="11">
        <f>SUM(Q64+Q50+Q27)</f>
        <v>0</v>
      </c>
      <c r="R66" s="5"/>
      <c r="S66" s="26"/>
      <c r="T66" s="9" t="s">
        <v>59</v>
      </c>
      <c r="U66" s="9">
        <v>1500</v>
      </c>
      <c r="V66" s="10">
        <v>0</v>
      </c>
      <c r="W66" s="16">
        <f t="shared" si="19"/>
        <v>0</v>
      </c>
    </row>
    <row r="67" spans="1:23" x14ac:dyDescent="0.2">
      <c r="A67" s="24"/>
      <c r="B67" s="9" t="s">
        <v>67</v>
      </c>
      <c r="C67">
        <v>25000</v>
      </c>
      <c r="D67" s="5">
        <v>0</v>
      </c>
      <c r="E67" s="16">
        <f t="shared" si="18"/>
        <v>0</v>
      </c>
      <c r="F67" s="5"/>
      <c r="G67" s="13"/>
      <c r="H67" s="27" t="s">
        <v>49</v>
      </c>
      <c r="I67" s="27"/>
      <c r="J67" s="13"/>
      <c r="K67" s="18">
        <f>SUM(K53:K65)</f>
        <v>0</v>
      </c>
      <c r="L67" s="5"/>
      <c r="R67" s="5"/>
      <c r="S67" s="26"/>
      <c r="T67" s="9" t="s">
        <v>60</v>
      </c>
      <c r="U67" s="9">
        <v>4000</v>
      </c>
      <c r="V67" s="10">
        <v>0</v>
      </c>
      <c r="W67" s="16">
        <f t="shared" si="19"/>
        <v>0</v>
      </c>
    </row>
    <row r="68" spans="1:23" ht="16" customHeight="1" x14ac:dyDescent="0.2">
      <c r="A68" s="24"/>
      <c r="B68" s="9" t="s">
        <v>16</v>
      </c>
      <c r="C68">
        <v>1</v>
      </c>
      <c r="D68" s="5">
        <v>0</v>
      </c>
      <c r="E68" s="16">
        <f t="shared" si="18"/>
        <v>0</v>
      </c>
      <c r="F68" s="5"/>
      <c r="G68" s="34" t="s">
        <v>63</v>
      </c>
      <c r="H68" s="9" t="s">
        <v>64</v>
      </c>
      <c r="I68">
        <v>5</v>
      </c>
      <c r="J68" s="5">
        <v>0</v>
      </c>
      <c r="K68" s="16">
        <f t="shared" ref="K68:K74" si="20">J68*I68</f>
        <v>0</v>
      </c>
      <c r="L68" s="5"/>
      <c r="R68" s="5"/>
      <c r="S68" s="26"/>
      <c r="T68" s="9" t="s">
        <v>61</v>
      </c>
      <c r="U68" s="9">
        <v>4000</v>
      </c>
      <c r="V68" s="10">
        <v>0</v>
      </c>
      <c r="W68" s="16">
        <f t="shared" si="19"/>
        <v>0</v>
      </c>
    </row>
    <row r="69" spans="1:23" x14ac:dyDescent="0.2">
      <c r="A69" s="24"/>
      <c r="B69" s="9" t="s">
        <v>18</v>
      </c>
      <c r="C69">
        <v>50000</v>
      </c>
      <c r="D69" s="5">
        <v>0</v>
      </c>
      <c r="E69" s="16">
        <f t="shared" si="18"/>
        <v>0</v>
      </c>
      <c r="F69" s="5"/>
      <c r="G69" s="26"/>
      <c r="H69" s="9" t="s">
        <v>59</v>
      </c>
      <c r="I69">
        <v>1500</v>
      </c>
      <c r="J69" s="5">
        <v>0</v>
      </c>
      <c r="K69" s="16">
        <f t="shared" si="20"/>
        <v>0</v>
      </c>
      <c r="L69" s="5"/>
      <c r="R69" s="5"/>
      <c r="S69" s="26"/>
      <c r="T69" s="9" t="s">
        <v>62</v>
      </c>
      <c r="U69" s="9">
        <v>25000</v>
      </c>
      <c r="V69" s="10">
        <v>0</v>
      </c>
      <c r="W69" s="16">
        <f t="shared" si="19"/>
        <v>0</v>
      </c>
    </row>
    <row r="70" spans="1:23" x14ac:dyDescent="0.2">
      <c r="A70" s="24"/>
      <c r="B70" s="9" t="s">
        <v>20</v>
      </c>
      <c r="C70">
        <v>1</v>
      </c>
      <c r="D70" s="5">
        <v>0</v>
      </c>
      <c r="E70" s="16">
        <f>(D70*C70)/24</f>
        <v>0</v>
      </c>
      <c r="F70" s="5"/>
      <c r="G70" s="26"/>
      <c r="H70" s="9" t="s">
        <v>60</v>
      </c>
      <c r="I70">
        <v>4000</v>
      </c>
      <c r="J70" s="5">
        <v>0</v>
      </c>
      <c r="K70" s="16">
        <f t="shared" si="20"/>
        <v>0</v>
      </c>
      <c r="L70" s="5"/>
      <c r="R70" s="5"/>
      <c r="S70" s="26"/>
      <c r="T70" s="9" t="s">
        <v>16</v>
      </c>
      <c r="U70">
        <v>1</v>
      </c>
      <c r="V70" s="10">
        <v>0</v>
      </c>
      <c r="W70" s="16">
        <f t="shared" si="19"/>
        <v>0</v>
      </c>
    </row>
    <row r="71" spans="1:23" ht="16" customHeight="1" x14ac:dyDescent="0.2">
      <c r="A71" s="24"/>
      <c r="B71" s="9" t="s">
        <v>22</v>
      </c>
      <c r="C71">
        <v>10000</v>
      </c>
      <c r="D71" s="5">
        <v>0</v>
      </c>
      <c r="E71" s="16">
        <f>D71*C71</f>
        <v>0</v>
      </c>
      <c r="F71" s="5"/>
      <c r="G71" s="26"/>
      <c r="H71" s="9" t="s">
        <v>66</v>
      </c>
      <c r="I71">
        <v>4000</v>
      </c>
      <c r="J71" s="5">
        <v>0</v>
      </c>
      <c r="K71" s="16">
        <f t="shared" si="20"/>
        <v>0</v>
      </c>
      <c r="L71" s="5"/>
      <c r="R71" s="5"/>
      <c r="S71" s="26"/>
      <c r="T71" s="9" t="s">
        <v>18</v>
      </c>
      <c r="U71">
        <v>50000</v>
      </c>
      <c r="V71" s="10">
        <v>0</v>
      </c>
      <c r="W71" s="16">
        <f t="shared" si="19"/>
        <v>0</v>
      </c>
    </row>
    <row r="72" spans="1:23" x14ac:dyDescent="0.2">
      <c r="A72" s="24"/>
      <c r="B72" s="9" t="s">
        <v>24</v>
      </c>
      <c r="C72">
        <v>40000</v>
      </c>
      <c r="D72" s="5">
        <v>0</v>
      </c>
      <c r="E72" s="16">
        <f>D72*C72</f>
        <v>0</v>
      </c>
      <c r="F72" s="5"/>
      <c r="G72" s="26"/>
      <c r="H72" s="9" t="s">
        <v>67</v>
      </c>
      <c r="I72">
        <v>25000</v>
      </c>
      <c r="J72" s="5">
        <v>0</v>
      </c>
      <c r="K72" s="16">
        <f t="shared" si="20"/>
        <v>0</v>
      </c>
      <c r="L72" s="5"/>
      <c r="R72" s="5"/>
      <c r="S72" s="26"/>
      <c r="T72" s="9" t="s">
        <v>20</v>
      </c>
      <c r="U72">
        <v>1</v>
      </c>
      <c r="V72" s="10">
        <v>0</v>
      </c>
      <c r="W72" s="16">
        <f>(U72*V72)/24</f>
        <v>0</v>
      </c>
    </row>
    <row r="73" spans="1:23" ht="16" customHeight="1" x14ac:dyDescent="0.2">
      <c r="B73" s="27" t="s">
        <v>49</v>
      </c>
      <c r="C73" s="25"/>
      <c r="D73" s="5"/>
      <c r="E73" s="21">
        <f>SUM(E62:E72)</f>
        <v>0</v>
      </c>
      <c r="F73" s="22"/>
      <c r="G73" s="26"/>
      <c r="H73" s="9" t="s">
        <v>16</v>
      </c>
      <c r="I73">
        <v>1</v>
      </c>
      <c r="J73" s="5">
        <v>0</v>
      </c>
      <c r="K73" s="16">
        <f t="shared" si="20"/>
        <v>0</v>
      </c>
      <c r="L73" s="22"/>
      <c r="R73" s="22"/>
      <c r="S73" s="26"/>
      <c r="T73" s="9" t="s">
        <v>22</v>
      </c>
      <c r="U73">
        <v>10000</v>
      </c>
      <c r="V73" s="10">
        <v>0</v>
      </c>
      <c r="W73" s="16">
        <f>U73*V73</f>
        <v>0</v>
      </c>
    </row>
    <row r="74" spans="1:23" x14ac:dyDescent="0.2">
      <c r="A74" s="26" t="s">
        <v>68</v>
      </c>
      <c r="B74" s="9" t="s">
        <v>69</v>
      </c>
      <c r="C74">
        <v>12</v>
      </c>
      <c r="D74" s="5">
        <v>0</v>
      </c>
      <c r="E74" s="16">
        <f t="shared" ref="E74:E84" si="21">D74*C74</f>
        <v>0</v>
      </c>
      <c r="F74" s="5"/>
      <c r="G74" s="26"/>
      <c r="H74" s="9" t="s">
        <v>18</v>
      </c>
      <c r="I74">
        <v>50000</v>
      </c>
      <c r="J74" s="5">
        <v>0</v>
      </c>
      <c r="K74" s="16">
        <f t="shared" si="20"/>
        <v>0</v>
      </c>
      <c r="L74" s="5"/>
      <c r="R74" s="5"/>
      <c r="S74" s="26"/>
      <c r="T74" s="9" t="s">
        <v>24</v>
      </c>
      <c r="U74">
        <v>40000</v>
      </c>
      <c r="V74" s="10">
        <v>0</v>
      </c>
      <c r="W74" s="16">
        <f>U74*V74</f>
        <v>0</v>
      </c>
    </row>
    <row r="75" spans="1:23" x14ac:dyDescent="0.2">
      <c r="A75" s="24"/>
      <c r="B75" s="9" t="s">
        <v>70</v>
      </c>
      <c r="C75">
        <v>12</v>
      </c>
      <c r="D75" s="5">
        <v>0</v>
      </c>
      <c r="E75" s="16">
        <f t="shared" si="21"/>
        <v>0</v>
      </c>
      <c r="F75" s="5"/>
      <c r="G75" s="26"/>
      <c r="H75" s="9" t="s">
        <v>20</v>
      </c>
      <c r="I75">
        <v>1</v>
      </c>
      <c r="J75" s="5">
        <v>0</v>
      </c>
      <c r="K75" s="16">
        <f>(J75*I75)/24</f>
        <v>0</v>
      </c>
      <c r="L75" s="5"/>
      <c r="R75" s="5"/>
      <c r="S75" s="26"/>
      <c r="T75" s="9" t="s">
        <v>30</v>
      </c>
      <c r="U75">
        <v>8</v>
      </c>
      <c r="V75" s="10">
        <v>0</v>
      </c>
      <c r="W75" s="16">
        <f>U75*V75</f>
        <v>0</v>
      </c>
    </row>
    <row r="76" spans="1:23" x14ac:dyDescent="0.2">
      <c r="A76" s="24"/>
      <c r="B76" s="9" t="s">
        <v>51</v>
      </c>
      <c r="C76">
        <v>37500</v>
      </c>
      <c r="D76" s="5">
        <v>0</v>
      </c>
      <c r="E76" s="16">
        <f t="shared" si="21"/>
        <v>0</v>
      </c>
      <c r="F76" s="5"/>
      <c r="G76" s="26"/>
      <c r="H76" s="9" t="s">
        <v>22</v>
      </c>
      <c r="I76">
        <v>10000</v>
      </c>
      <c r="J76" s="5">
        <v>0</v>
      </c>
      <c r="K76" s="16">
        <f>J76*I76</f>
        <v>0</v>
      </c>
      <c r="L76" s="5"/>
      <c r="R76" s="5"/>
      <c r="S76" s="32"/>
      <c r="T76" s="27" t="s">
        <v>49</v>
      </c>
      <c r="U76" s="25"/>
      <c r="V76" s="5"/>
      <c r="W76" s="21">
        <f>SUM(W65:W75)</f>
        <v>0</v>
      </c>
    </row>
    <row r="77" spans="1:23" x14ac:dyDescent="0.2">
      <c r="A77" s="24"/>
      <c r="B77" s="9" t="s">
        <v>20</v>
      </c>
      <c r="C77">
        <v>1</v>
      </c>
      <c r="D77" s="5">
        <v>0</v>
      </c>
      <c r="E77" s="16">
        <f t="shared" si="21"/>
        <v>0</v>
      </c>
      <c r="F77" s="5"/>
      <c r="G77" s="26"/>
      <c r="H77" s="9" t="s">
        <v>24</v>
      </c>
      <c r="I77">
        <v>40000</v>
      </c>
      <c r="J77" s="5">
        <v>0</v>
      </c>
      <c r="K77" s="16">
        <f>J77*I77</f>
        <v>0</v>
      </c>
      <c r="L77" s="5"/>
      <c r="R77" s="5"/>
      <c r="S77" s="8"/>
      <c r="T77" s="23" t="s">
        <v>65</v>
      </c>
      <c r="U77" s="24"/>
      <c r="V77" s="24"/>
      <c r="W77" s="16"/>
    </row>
    <row r="78" spans="1:23" x14ac:dyDescent="0.2">
      <c r="A78" s="24"/>
      <c r="B78" s="9" t="s">
        <v>18</v>
      </c>
      <c r="C78">
        <v>50000</v>
      </c>
      <c r="D78" s="5">
        <v>0</v>
      </c>
      <c r="E78" s="16">
        <f t="shared" si="21"/>
        <v>0</v>
      </c>
      <c r="F78" s="5"/>
      <c r="G78" s="26"/>
      <c r="H78" s="9" t="s">
        <v>30</v>
      </c>
      <c r="I78" s="10">
        <v>8</v>
      </c>
      <c r="J78" s="10">
        <v>0</v>
      </c>
      <c r="K78" s="11">
        <f>J78*I78</f>
        <v>0</v>
      </c>
      <c r="L78" s="5"/>
      <c r="R78" s="5"/>
      <c r="T78" s="25"/>
      <c r="U78" s="25"/>
      <c r="V78" s="25"/>
      <c r="W78" s="11">
        <f>SUM(W76+W63+W20)</f>
        <v>0</v>
      </c>
    </row>
    <row r="79" spans="1:23" x14ac:dyDescent="0.2">
      <c r="A79" s="24"/>
      <c r="B79" s="9" t="s">
        <v>16</v>
      </c>
      <c r="C79">
        <v>1</v>
      </c>
      <c r="D79" s="5">
        <v>0</v>
      </c>
      <c r="E79" s="16">
        <f t="shared" si="21"/>
        <v>0</v>
      </c>
      <c r="F79" s="5"/>
      <c r="G79" s="26"/>
      <c r="H79" s="9" t="s">
        <v>77</v>
      </c>
      <c r="I79" s="10">
        <v>60000</v>
      </c>
      <c r="J79" s="10"/>
      <c r="K79" s="11">
        <f>J79*I79</f>
        <v>0</v>
      </c>
      <c r="L79" s="5"/>
      <c r="R79" s="5"/>
    </row>
    <row r="80" spans="1:23" x14ac:dyDescent="0.2">
      <c r="A80" s="24"/>
      <c r="B80" s="9" t="s">
        <v>22</v>
      </c>
      <c r="C80">
        <v>10000</v>
      </c>
      <c r="D80" s="5">
        <v>0</v>
      </c>
      <c r="E80" s="16">
        <f t="shared" si="21"/>
        <v>0</v>
      </c>
      <c r="F80" s="5"/>
      <c r="H80" s="27" t="s">
        <v>49</v>
      </c>
      <c r="I80" s="25"/>
      <c r="J80" s="5"/>
      <c r="K80" s="21">
        <f>SUM(K68:K77)</f>
        <v>0</v>
      </c>
      <c r="L80" s="5"/>
      <c r="R80" s="5"/>
    </row>
    <row r="81" spans="1:18" ht="16" customHeight="1" x14ac:dyDescent="0.2">
      <c r="A81" s="24"/>
      <c r="B81" s="9" t="s">
        <v>24</v>
      </c>
      <c r="C81">
        <v>40000</v>
      </c>
      <c r="D81" s="5">
        <v>0</v>
      </c>
      <c r="E81" s="16">
        <f t="shared" si="21"/>
        <v>0</v>
      </c>
      <c r="F81" s="5"/>
      <c r="G81" s="26" t="s">
        <v>68</v>
      </c>
      <c r="H81" s="9" t="s">
        <v>69</v>
      </c>
      <c r="I81">
        <v>12</v>
      </c>
      <c r="J81" s="5">
        <v>0</v>
      </c>
      <c r="K81" s="16">
        <f t="shared" ref="K81:K90" si="22">J81*I81</f>
        <v>0</v>
      </c>
      <c r="L81" s="5"/>
      <c r="R81" s="5"/>
    </row>
    <row r="82" spans="1:18" x14ac:dyDescent="0.2">
      <c r="A82" s="24"/>
      <c r="B82" s="9" t="s">
        <v>71</v>
      </c>
      <c r="C82">
        <v>8</v>
      </c>
      <c r="D82" s="5">
        <v>0</v>
      </c>
      <c r="E82" s="16">
        <f t="shared" si="21"/>
        <v>0</v>
      </c>
      <c r="F82" s="5"/>
      <c r="G82" s="26"/>
      <c r="H82" s="9" t="s">
        <v>70</v>
      </c>
      <c r="I82">
        <v>12</v>
      </c>
      <c r="J82" s="5">
        <v>0</v>
      </c>
      <c r="K82" s="16">
        <f t="shared" si="22"/>
        <v>0</v>
      </c>
      <c r="L82" s="5"/>
      <c r="R82" s="5"/>
    </row>
    <row r="83" spans="1:18" x14ac:dyDescent="0.2">
      <c r="A83" s="24"/>
      <c r="B83" s="9" t="s">
        <v>72</v>
      </c>
      <c r="C83">
        <v>500</v>
      </c>
      <c r="D83" s="5">
        <v>0</v>
      </c>
      <c r="E83" s="16">
        <f t="shared" si="21"/>
        <v>0</v>
      </c>
      <c r="F83" s="5"/>
      <c r="G83" s="26"/>
      <c r="H83" s="9" t="s">
        <v>20</v>
      </c>
      <c r="I83">
        <v>1</v>
      </c>
      <c r="J83" s="5">
        <v>0</v>
      </c>
      <c r="K83" s="16">
        <f t="shared" si="22"/>
        <v>0</v>
      </c>
      <c r="L83" s="5"/>
      <c r="R83" s="5"/>
    </row>
    <row r="84" spans="1:18" x14ac:dyDescent="0.2">
      <c r="A84" s="24"/>
      <c r="B84" s="9" t="s">
        <v>54</v>
      </c>
      <c r="C84">
        <v>60000</v>
      </c>
      <c r="D84" s="5">
        <v>0</v>
      </c>
      <c r="E84" s="16">
        <f t="shared" si="21"/>
        <v>0</v>
      </c>
      <c r="F84" s="5"/>
      <c r="G84" s="26"/>
      <c r="H84" s="9" t="s">
        <v>18</v>
      </c>
      <c r="I84">
        <v>50000</v>
      </c>
      <c r="J84" s="5">
        <v>0</v>
      </c>
      <c r="K84" s="16">
        <f t="shared" si="22"/>
        <v>0</v>
      </c>
      <c r="L84" s="5"/>
      <c r="R84" s="5"/>
    </row>
    <row r="85" spans="1:18" x14ac:dyDescent="0.2">
      <c r="B85" s="27" t="s">
        <v>49</v>
      </c>
      <c r="C85" s="25"/>
      <c r="D85" s="5"/>
      <c r="E85" s="16">
        <f>SUM(E74:E84)</f>
        <v>0</v>
      </c>
      <c r="F85" s="5"/>
      <c r="G85" s="26"/>
      <c r="H85" s="9" t="s">
        <v>16</v>
      </c>
      <c r="I85">
        <v>1</v>
      </c>
      <c r="J85" s="5">
        <v>0</v>
      </c>
      <c r="K85" s="16">
        <f t="shared" si="22"/>
        <v>0</v>
      </c>
      <c r="L85" s="5"/>
      <c r="R85" s="5"/>
    </row>
    <row r="86" spans="1:18" x14ac:dyDescent="0.2">
      <c r="B86" s="23" t="s">
        <v>65</v>
      </c>
      <c r="C86" s="24"/>
      <c r="D86" s="24"/>
      <c r="E86" s="16"/>
      <c r="F86" s="5"/>
      <c r="G86" s="26"/>
      <c r="H86" s="9" t="s">
        <v>22</v>
      </c>
      <c r="I86">
        <v>10000</v>
      </c>
      <c r="J86" s="5">
        <v>0</v>
      </c>
      <c r="K86" s="16">
        <f t="shared" si="22"/>
        <v>0</v>
      </c>
      <c r="L86" s="5"/>
      <c r="R86" s="5"/>
    </row>
    <row r="87" spans="1:18" x14ac:dyDescent="0.2">
      <c r="B87" s="25"/>
      <c r="C87" s="25"/>
      <c r="D87" s="25"/>
      <c r="E87" s="11">
        <f>SUM(E85+E73+E61+E46+E32+E19)</f>
        <v>0</v>
      </c>
      <c r="F87" s="10"/>
      <c r="G87" s="26"/>
      <c r="H87" s="9" t="s">
        <v>24</v>
      </c>
      <c r="I87">
        <v>40000</v>
      </c>
      <c r="J87" s="5">
        <v>0</v>
      </c>
      <c r="K87" s="16">
        <f t="shared" si="22"/>
        <v>0</v>
      </c>
      <c r="L87" s="10"/>
      <c r="R87" s="10"/>
    </row>
    <row r="88" spans="1:18" x14ac:dyDescent="0.2">
      <c r="G88" s="26"/>
      <c r="H88" s="9" t="s">
        <v>71</v>
      </c>
      <c r="I88">
        <v>8</v>
      </c>
      <c r="J88" s="5">
        <v>0</v>
      </c>
      <c r="K88" s="16">
        <f t="shared" si="22"/>
        <v>0</v>
      </c>
    </row>
    <row r="89" spans="1:18" x14ac:dyDescent="0.2">
      <c r="G89" s="26"/>
      <c r="H89" s="9" t="s">
        <v>72</v>
      </c>
      <c r="I89">
        <v>500</v>
      </c>
      <c r="J89" s="5">
        <v>0</v>
      </c>
      <c r="K89" s="16">
        <f t="shared" si="22"/>
        <v>0</v>
      </c>
    </row>
    <row r="90" spans="1:18" x14ac:dyDescent="0.2">
      <c r="G90" s="26"/>
      <c r="H90" s="9" t="s">
        <v>54</v>
      </c>
      <c r="I90">
        <v>60000</v>
      </c>
      <c r="J90" s="5">
        <v>0</v>
      </c>
      <c r="K90" s="16">
        <f t="shared" si="22"/>
        <v>0</v>
      </c>
    </row>
    <row r="91" spans="1:18" x14ac:dyDescent="0.2">
      <c r="G91" s="32"/>
      <c r="H91" s="27" t="s">
        <v>49</v>
      </c>
      <c r="I91" s="25"/>
      <c r="J91" s="5"/>
      <c r="K91" s="16">
        <f>SUM(K81:K90)</f>
        <v>0</v>
      </c>
    </row>
    <row r="92" spans="1:18" x14ac:dyDescent="0.2">
      <c r="H92" s="23" t="s">
        <v>65</v>
      </c>
      <c r="I92" s="24"/>
      <c r="J92" s="24"/>
      <c r="K92" s="16"/>
    </row>
    <row r="93" spans="1:18" x14ac:dyDescent="0.2">
      <c r="H93" s="25"/>
      <c r="I93" s="25"/>
      <c r="J93" s="25"/>
      <c r="K93" s="11">
        <f>SUM(K91+K80+K67+K52+K36+K21)</f>
        <v>0</v>
      </c>
    </row>
  </sheetData>
  <mergeCells count="53">
    <mergeCell ref="T76:U76"/>
    <mergeCell ref="T77:V78"/>
    <mergeCell ref="S6:S19"/>
    <mergeCell ref="T34:U34"/>
    <mergeCell ref="S21:S33"/>
    <mergeCell ref="T49:U49"/>
    <mergeCell ref="T64:U64"/>
    <mergeCell ref="S35:S48"/>
    <mergeCell ref="S50:S63"/>
    <mergeCell ref="S65:S75"/>
    <mergeCell ref="S1:W1"/>
    <mergeCell ref="T20:U20"/>
    <mergeCell ref="A3:W3"/>
    <mergeCell ref="G6:G20"/>
    <mergeCell ref="G4:K4"/>
    <mergeCell ref="M4:Q4"/>
    <mergeCell ref="S4:W4"/>
    <mergeCell ref="B1:E1"/>
    <mergeCell ref="G1:K1"/>
    <mergeCell ref="M28:M48"/>
    <mergeCell ref="B85:C85"/>
    <mergeCell ref="B32:C32"/>
    <mergeCell ref="H91:I91"/>
    <mergeCell ref="H67:I67"/>
    <mergeCell ref="B4:D4"/>
    <mergeCell ref="G38:G51"/>
    <mergeCell ref="G22:G35"/>
    <mergeCell ref="G53:G66"/>
    <mergeCell ref="G68:G79"/>
    <mergeCell ref="G81:G90"/>
    <mergeCell ref="B86:D87"/>
    <mergeCell ref="B73:C73"/>
    <mergeCell ref="H92:J93"/>
    <mergeCell ref="M1:Q1"/>
    <mergeCell ref="H80:I80"/>
    <mergeCell ref="H52:I52"/>
    <mergeCell ref="B61:C61"/>
    <mergeCell ref="N64:O64"/>
    <mergeCell ref="H36:I36"/>
    <mergeCell ref="B19:C19"/>
    <mergeCell ref="N65:P66"/>
    <mergeCell ref="A74:A84"/>
    <mergeCell ref="B46:C46"/>
    <mergeCell ref="A6:A18"/>
    <mergeCell ref="A33:A45"/>
    <mergeCell ref="A62:A72"/>
    <mergeCell ref="A20:A31"/>
    <mergeCell ref="A47:A59"/>
    <mergeCell ref="H21:I21"/>
    <mergeCell ref="M6:M26"/>
    <mergeCell ref="N50:O50"/>
    <mergeCell ref="M51:M63"/>
    <mergeCell ref="N27:O27"/>
  </mergeCells>
  <hyperlinks>
    <hyperlink ref="B1" location="Sheet1!B4" tooltip="Jump to TOP CEO EVENT" display="TOP CEO EVENT" xr:uid="{00000000-0004-0000-0000-000000000000}"/>
    <hyperlink ref="G1" location="Sheet1!G4" tooltip="Jump to ULTIMATE CEO EVENT" display="ULTIMATE CEO EVENT" xr:uid="{00000000-0004-0000-0000-000001000000}"/>
    <hyperlink ref="M1" location="Sheet1!M4" tooltip="Jump to WARM UP EVENT" display="WARM UP EVENT" xr:uid="{00000000-0004-0000-0000-000002000000}"/>
    <hyperlink ref="S1" location="Sheet1!M4" tooltip="Jump to WARM UP EVENT" display="WARM UP EVENT" xr:uid="{77C0127A-5B0E-5946-A03F-81E7B22F1B74}"/>
  </hyperlinks>
  <pageMargins left="0.7" right="0.7" top="0.75" bottom="0.75" header="0.3" footer="0.3"/>
  <ignoredErrors>
    <ignoredError sqref="W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2026-03-04T16:24:25Z</dcterms:created>
  <dcterms:modified xsi:type="dcterms:W3CDTF">2026-05-04T14:40:30Z</dcterms:modified>
</cp:coreProperties>
</file>